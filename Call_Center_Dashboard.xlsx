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moata\Desktop\"/>
    </mc:Choice>
  </mc:AlternateContent>
  <xr:revisionPtr revIDLastSave="0" documentId="13_ncr:1_{59D663DA-292C-43E1-9CE1-3D781E1E41F0}" xr6:coauthVersionLast="47" xr6:coauthVersionMax="47" xr10:uidLastSave="{00000000-0000-0000-0000-000000000000}"/>
  <bookViews>
    <workbookView xWindow="-96" yWindow="-96" windowWidth="23232" windowHeight="14592" activeTab="5" xr2:uid="{26D4546B-D2A1-4444-8EAF-A6228F96F0C1}"/>
  </bookViews>
  <sheets>
    <sheet name="Data" sheetId="2" r:id="rId1"/>
    <sheet name="Meta data" sheetId="3" r:id="rId2"/>
    <sheet name="Pivot" sheetId="5" r:id="rId3"/>
    <sheet name="OverView" sheetId="6" r:id="rId4"/>
    <sheet name="Performance" sheetId="9" r:id="rId5"/>
    <sheet name="Customer" sheetId="10" r:id="rId6"/>
  </sheets>
  <definedNames>
    <definedName name="_xlnm._FilterDatabase" localSheetId="0" hidden="1">Data!$B$3:$H$1003</definedName>
    <definedName name="_xlcn.WorksheetConnection_07.sampledataexcelportfolioproject.xlsxcustomers1" hidden="1">customers[]</definedName>
    <definedName name="Average_duration">Pivot!$B$5</definedName>
    <definedName name="Average_of_Age">Pivot!$E$58</definedName>
    <definedName name="Average_satsfication">Pivot!$B$6</definedName>
    <definedName name="Count_of_Call_number">Pivot!$B$4</definedName>
    <definedName name="Female">Pivot!$E$66</definedName>
    <definedName name="Male">Pivot!$E$67</definedName>
    <definedName name="NativeTimeline_Date_of_Call">#N/A</definedName>
    <definedName name="Row_Labels">Pivot!$E$65</definedName>
    <definedName name="Slicer_Customer_ID">#N/A</definedName>
    <definedName name="Slicer_Day_of_week">#N/A</definedName>
    <definedName name="Slicer_Rating_rounded">#N/A</definedName>
    <definedName name="Slicer_Representative">#N/A</definedName>
    <definedName name="Sum_of_Duration">Pivot!$B$5</definedName>
    <definedName name="Sum_of_Purchase_Amount">Pivot!$B$7</definedName>
    <definedName name="Sum_of_Satisfaction_Rating">Pivot!$B$6</definedName>
    <definedName name="Total_Calls">Pivot!$B$4</definedName>
    <definedName name="Total_Purchase_Amount">Pivot!$B$7</definedName>
    <definedName name="Unique_customers">Pivot!$D$58</definedName>
    <definedName name="Values">Pivot!$B$3</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2" l="1"/>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T18" i="2"/>
  <c r="T17" i="2"/>
  <c r="T16" i="2"/>
  <c r="T15" i="2"/>
  <c r="T14" i="2"/>
  <c r="T13" i="2"/>
  <c r="T12" i="2"/>
  <c r="T11" i="2"/>
  <c r="T10" i="2"/>
  <c r="T9" i="2"/>
  <c r="T8" i="2"/>
  <c r="T7" i="2"/>
  <c r="T6" i="2"/>
  <c r="T5" i="2"/>
  <c r="T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FA3D97-49D0-40F0-AF02-8C472287F498}"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2" xr16:uid="{6ABAD500-E550-4FED-AA57-CDAD8D3D41E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11B3AB67-B1D1-46A1-B7C9-F9DB9F48B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<sst xmlns="http://schemas.openxmlformats.org/spreadsheetml/2006/main" count="3236" uniqueCount="1120">
  <si>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</si>
  <si>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</si>
  <si>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</si>
  <si>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</si>
  <si>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</si>
  <si>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</si>
  <si>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</si>
  <si>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</si>
  <si>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</si>
  <si>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</si>
  <si>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</si>
  <si>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</si>
  <si>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</si>
  <si>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</si>
  <si>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</si>
  <si>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</si>
  <si>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</si>
  <si>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</si>
  <si>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</si>
  <si>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</si>
  <si>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</si>
  <si>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</si>
  <si>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</si>
  <si>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</si>
  <si>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</si>
  <si>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</si>
  <si>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</si>
  <si>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</si>
  <si>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</si>
  <si>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</si>
  <si>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</si>
  <si>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</si>
  <si>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</si>
  <si>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</si>
  <si>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</si>
  <si>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</si>
  <si>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</si>
  <si>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</si>
  <si>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</si>
  <si>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</si>
  <si>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</si>
  <si>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</si>
  <si>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</si>
  <si>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</si>
  <si>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</si>
  <si>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</si>
  <si>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</si>
  <si>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</si>
  <si>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</si>
  <si>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</si>
  <si>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</si>
  <si>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</si>
  <si>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</si>
  <si>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</si>
  <si>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</si>
  <si>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</si>
  <si>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</si>
  <si>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</si>
  <si>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</si>
  <si>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</si>
  <si>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</si>
  <si>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</si>
  <si>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</si>
  <si>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</si>
  <si>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</si>
  <si>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</si>
  <si>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</si>
  <si>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</si>
  <si>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</si>
  <si>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</si>
  <si>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</si>
  <si>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</si>
  <si>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</si>
  <si>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</si>
  <si>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</si>
  <si>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</si>
  <si>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</si>
  <si>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</si>
  <si>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</si>
  <si>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</si>
  <si>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</si>
  <si>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</si>
  <si>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</si>
  <si>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</si>
  <si>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</si>
  <si>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</si>
  <si>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</si>
  <si>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</si>
  <si>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</si>
  <si>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</si>
  <si>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</si>
  <si>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</si>
  <si>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</si>
  <si>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</si>
  <si>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</si>
  <si>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</si>
  <si>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</si>
  <si>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</si>
  <si>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</si>
  <si>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</si>
  <si>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</si>
  <si>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</si>
  <si>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</si>
  <si>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</si>
  <si>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</si>
  <si>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</si>
  <si>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</si>
  <si>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</si>
  <si>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</si>
  <si>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</si>
  <si>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</si>
  <si>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</si>
  <si>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</si>
  <si>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</si>
  <si>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</si>
  <si>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</si>
  <si>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</si>
  <si>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</si>
  <si>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</si>
  <si>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</si>
  <si>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</si>
  <si>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</si>
  <si>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</si>
  <si>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</si>
  <si>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</si>
  <si>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</si>
  <si>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</si>
  <si>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</si>
  <si>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</si>
  <si>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</si>
  <si>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</si>
  <si>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</si>
  <si>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</si>
  <si>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</si>
  <si>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</si>
  <si>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</si>
  <si>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</si>
  <si>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</si>
  <si>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</si>
  <si>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</si>
  <si>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</si>
  <si>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</si>
  <si>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</si>
  <si>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</si>
  <si>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</si>
  <si>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</si>
  <si>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</si>
  <si>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</si>
  <si>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</si>
  <si>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</si>
  <si>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</si>
  <si>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</si>
  <si>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</si>
  <si>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</si>
  <si>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</si>
  <si>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</si>
  <si>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</si>
  <si>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</si>
  <si>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</si>
  <si>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</si>
  <si>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</si>
  <si>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</si>
  <si>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</si>
  <si>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</si>
  <si>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</si>
  <si>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</si>
  <si>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</si>
  <si>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</si>
  <si>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</si>
  <si>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</si>
  <si>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</si>
  <si>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</si>
  <si>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</si>
  <si>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</si>
  <si>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</si>
  <si>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</si>
  <si>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</si>
  <si>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</si>
  <si>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</si>
  <si>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</si>
  <si>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</si>
  <si>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</si>
  <si>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</si>
  <si>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</si>
  <si>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</si>
  <si>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</si>
  <si>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</si>
  <si>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</si>
  <si>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</si>
  <si>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</si>
  <si>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</si>
  <si>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</si>
  <si>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</si>
  <si>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</si>
  <si>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</si>
  <si>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</si>
  <si>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</si>
  <si>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</si>
  <si>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</si>
  <si>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</si>
  <si>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</si>
  <si>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</si>
  <si>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</si>
  <si>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</si>
  <si>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</si>
  <si>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</si>
  <si>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</si>
  <si>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</si>
  <si>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</si>
  <si>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</si>
  <si>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</si>
  <si>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</si>
  <si>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</si>
  <si>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</si>
  <si>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</si>
  <si>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</si>
  <si>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</si>
  <si>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</si>
  <si>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</si>
  <si>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</si>
  <si>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</si>
  <si>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</si>
  <si>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</si>
  <si>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</si>
  <si>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</si>
  <si>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</si>
  <si>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</si>
  <si>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</si>
  <si>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</si>
  <si>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</si>
  <si>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</si>
  <si>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</si>
  <si>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</si>
  <si>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</si>
  <si>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</si>
  <si>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</si>
  <si>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</si>
  <si>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</si>
  <si>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</si>
  <si>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</si>
  <si>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</si>
  <si>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</si>
  <si>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</si>
  <si>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</si>
  <si>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</si>
  <si>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</si>
  <si>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</si>
  <si>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</si>
  <si>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</si>
  <si>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</si>
  <si>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</si>
  <si>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</si>
  <si>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</si>
  <si>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</si>
  <si>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</si>
  <si>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</si>
  <si>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</si>
  <si>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</si>
  <si>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</si>
  <si>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</si>
  <si>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</si>
  <si>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</si>
  <si>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</si>
  <si>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</si>
  <si>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</si>
  <si>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</si>
  <si>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</si>
  <si>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</si>
  <si>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</si>
  <si>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</si>
  <si>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</si>
  <si>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</si>
  <si>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</si>
  <si>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</si>
  <si>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</si>
  <si>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</si>
  <si>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</si>
  <si>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</si>
  <si>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</si>
  <si>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</si>
  <si>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</si>
  <si>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</si>
  <si>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</si>
  <si>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</si>
  <si>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</si>
  <si>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</si>
  <si>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</si>
  <si>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</si>
  <si>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</si>
  <si>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</si>
  <si>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</si>
  <si>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</si>
  <si>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</si>
  <si>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</si>
  <si>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</si>
  <si>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</si>
  <si>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</si>
  <si>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</si>
  <si>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</si>
  <si>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</si>
  <si>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</si>
  <si>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</si>
  <si>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</si>
  <si>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</si>
  <si>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</si>
  <si>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</si>
  <si>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</si>
  <si>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</si>
  <si>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</si>
  <si>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</si>
  <si>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</si>
  <si>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</si>
  <si>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</si>
  <si>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</si>
  <si>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</si>
  <si>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</si>
  <si>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</si>
  <si>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</si>
  <si>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</si>
  <si>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</si>
  <si>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</si>
  <si>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</si>
  <si>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</si>
  <si>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</si>
  <si>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</si>
  <si>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</si>
  <si>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</si>
  <si>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</si>
  <si>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</si>
  <si>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</si>
  <si>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</si>
  <si>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</si>
  <si>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</si>
  <si>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</si>
  <si>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</si>
  <si>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</si>
  <si>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</si>
  <si>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</si>
  <si>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</si>
  <si>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</si>
  <si>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</si>
  <si>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</si>
  <si>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</si>
  <si>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</si>
  <si>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</si>
  <si>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</si>
  <si>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</si>
  <si>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</si>
  <si>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</si>
  <si>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</si>
  <si>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</si>
  <si>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</si>
  <si>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</si>
  <si>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</si>
  <si>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</si>
  <si>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</si>
  <si>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</si>
  <si>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</si>
  <si>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</si>
  <si>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</si>
  <si>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</si>
  <si>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</si>
  <si>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</si>
  <si>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</si>
  <si>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</si>
  <si>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</si>
  <si>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</si>
  <si>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</si>
  <si>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</si>
  <si>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</si>
  <si>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</si>
  <si>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</si>
  <si>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</si>
  <si>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</si>
  <si>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</si>
  <si>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</si>
  <si>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</si>
  <si>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</si>
  <si>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</si>
  <si>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</si>
  <si>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</si>
  <si>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</si>
  <si>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</si>
  <si>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</si>
  <si>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</si>
  <si>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</si>
  <si>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</si>
  <si>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</si>
  <si>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</si>
  <si>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</si>
  <si>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</si>
  <si>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</si>
  <si>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</si>
  <si>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</si>
  <si>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</si>
  <si>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</si>
  <si>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</si>
  <si>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</si>
  <si>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</si>
  <si>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</si>
  <si>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</si>
  <si>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</si>
  <si>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</si>
  <si>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</si>
  <si>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</si>
  <si>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</si>
  <si>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</si>
  <si>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</si>
  <si>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</si>
  <si>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</si>
  <si>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</si>
  <si>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</si>
  <si>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</si>
  <si>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</si>
  <si>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</si>
  <si>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</si>
  <si>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</si>
  <si>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</si>
  <si>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</si>
  <si>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</si>
  <si>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</si>
  <si>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</si>
  <si>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</si>
  <si>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</si>
  <si>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</si>
  <si>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</si>
  <si>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</si>
  <si>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</si>
  <si>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</si>
  <si>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</si>
  <si>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</si>
  <si>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</si>
  <si>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</si>
  <si>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</si>
  <si>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</si>
  <si>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</si>
  <si>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</si>
  <si>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</si>
  <si>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</si>
  <si>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</si>
  <si>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</si>
  <si>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</si>
  <si>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</si>
  <si>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</si>
  <si>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</si>
  <si>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</si>
  <si>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</si>
  <si>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</si>
  <si>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</si>
  <si>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</si>
  <si>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</si>
  <si>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</si>
  <si>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</si>
  <si>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</si>
  <si>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</si>
  <si>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</si>
  <si>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</si>
  <si>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</si>
  <si>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</si>
  <si>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</si>
  <si>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</si>
  <si>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</si>
  <si>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</si>
  <si>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</si>
  <si>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</si>
  <si>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</si>
  <si>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</si>
  <si>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</si>
  <si>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</si>
  <si>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</si>
  <si>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</si>
  <si>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</si>
  <si>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</si>
  <si>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</si>
  <si>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</si>
  <si>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</si>
  <si>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</si>
  <si>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</si>
  <si>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</si>
  <si>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</si>
  <si>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</si>
  <si>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</si>
  <si>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</si>
  <si>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</si>
  <si>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</si>
  <si>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</si>
  <si>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</si>
  <si>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</si>
  <si>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</si>
  <si>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</si>
  <si>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</si>
  <si>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</si>
  <si>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</si>
  <si>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</si>
  <si>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</si>
  <si>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</si>
  <si>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</si>
  <si>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</si>
  <si>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</si>
  <si>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</si>
  <si>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</si>
  <si>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</si>
  <si>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</si>
  <si>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</si>
  <si>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</si>
  <si>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</si>
  <si>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</si>
  <si>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</si>
  <si>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</si>
  <si>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</si>
  <si>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</si>
  <si>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</si>
  <si>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</si>
  <si>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</si>
  <si>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</si>
  <si>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</si>
  <si>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</si>
  <si>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</si>
  <si>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</si>
  <si>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</si>
  <si>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</si>
  <si>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</si>
  <si>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</si>
  <si>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</si>
  <si>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</si>
  <si>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</si>
  <si>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</si>
  <si>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</si>
  <si>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</si>
  <si>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</si>
  <si>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</si>
  <si>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</si>
  <si>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</si>
  <si>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</si>
  <si>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</si>
  <si>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</si>
  <si>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</si>
  <si>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</si>
  <si>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</si>
  <si>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</si>
  <si>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</si>
  <si>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</si>
  <si>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</si>
  <si>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</si>
  <si>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</si>
  <si>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</si>
  <si>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</si>
  <si>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</si>
  <si>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</si>
  <si>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</si>
  <si>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</si>
  <si>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</si>
  <si>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</si>
  <si>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</si>
  <si>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</si>
  <si>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</si>
  <si>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</si>
  <si>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</si>
  <si>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</si>
  <si>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</si>
  <si>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</si>
  <si>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</si>
  <si>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</si>
  <si>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</si>
  <si>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</si>
  <si>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</si>
  <si>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</si>
  <si>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</si>
  <si>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</si>
  <si>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</si>
  <si>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</si>
  <si>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</si>
  <si>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</si>
  <si>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</si>
  <si>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</si>
  <si>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</si>
  <si>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</si>
  <si>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</si>
  <si>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</si>
  <si>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</si>
  <si>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</si>
  <si>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</si>
  <si>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</si>
  <si>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</si>
  <si>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</si>
  <si>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</si>
  <si>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</si>
  <si>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</si>
  <si>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</si>
  <si>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</si>
  <si>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</si>
  <si>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</si>
  <si>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</si>
  <si>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</si>
  <si>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</si>
  <si>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</si>
  <si>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</si>
  <si>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</si>
  <si>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</si>
  <si>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</si>
  <si>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</si>
  <si>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</si>
  <si>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</si>
  <si>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</si>
  <si>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</si>
  <si>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</si>
  <si>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</si>
  <si>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</si>
  <si>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</si>
  <si>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</si>
  <si>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</si>
  <si>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</si>
  <si>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</si>
  <si>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</si>
  <si>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</si>
  <si>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</si>
  <si>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</si>
  <si>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</si>
  <si>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</si>
  <si>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</si>
  <si>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</si>
  <si>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</si>
  <si>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</si>
  <si>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</si>
  <si>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</si>
  <si>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</si>
  <si>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</si>
  <si>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</si>
  <si>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</si>
  <si>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</si>
  <si>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</si>
  <si>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</si>
  <si>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</si>
  <si>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</si>
  <si>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</si>
  <si>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</si>
  <si>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</si>
  <si>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</si>
  <si>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</si>
  <si>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</si>
  <si>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</si>
  <si>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</si>
  <si>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</si>
  <si>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</si>
  <si>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</si>
  <si>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</si>
  <si>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</si>
  <si>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</si>
  <si>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</si>
  <si>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</si>
  <si>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</si>
  <si>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</si>
  <si>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</si>
  <si>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</si>
  <si>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</si>
  <si>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</si>
  <si>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</si>
  <si>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</si>
  <si>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</si>
  <si>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</si>
  <si>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</si>
  <si>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</si>
  <si>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</si>
  <si>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</si>
  <si>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</si>
  <si>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</si>
  <si>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</si>
  <si>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</si>
  <si>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</si>
  <si>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</si>
  <si>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</si>
  <si>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</si>
  <si>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</si>
  <si>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</si>
  <si>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</si>
  <si>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</si>
  <si>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</si>
  <si>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</si>
  <si>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</si>
  <si>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</si>
  <si>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</si>
  <si>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</si>
  <si>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</si>
  <si>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</si>
  <si>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</si>
  <si>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</si>
  <si>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</si>
  <si>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</si>
  <si>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</si>
  <si>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</si>
  <si>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</si>
  <si>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</si>
  <si>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</si>
  <si>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</si>
  <si>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</si>
  <si>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</si>
  <si>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</si>
  <si>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</si>
  <si>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</si>
  <si>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</si>
  <si>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</si>
  <si>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</si>
  <si>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</si>
  <si>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</si>
  <si>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</si>
  <si>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</si>
  <si>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</si>
  <si>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</si>
  <si>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</si>
  <si>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</si>
  <si>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</si>
  <si>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</si>
  <si>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</si>
  <si>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</si>
  <si>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</si>
  <si>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</si>
  <si>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</si>
  <si>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</si>
  <si>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</si>
  <si>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</si>
  <si>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</si>
  <si>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</si>
  <si>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</si>
  <si>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</si>
  <si>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</si>
  <si>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</si>
  <si>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</si>
  <si>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</si>
  <si>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</si>
  <si>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</si>
  <si>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</si>
  <si>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</si>
  <si>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</si>
  <si>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</si>
  <si>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</si>
  <si>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</si>
  <si>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</si>
  <si>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</si>
  <si>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</si>
  <si>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</si>
  <si>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</si>
  <si>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</si>
  <si>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</si>
  <si>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</si>
  <si>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</si>
  <si>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</si>
  <si>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</si>
  <si>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</si>
  <si>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</si>
  <si>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</si>
  <si>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</si>
  <si>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</si>
  <si>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</si>
  <si>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</si>
  <si>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</si>
  <si>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</si>
  <si>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</si>
  <si>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</si>
  <si>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</si>
  <si>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</si>
  <si>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</si>
  <si>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</si>
  <si>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</si>
  <si>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</si>
  <si>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</si>
  <si>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</si>
  <si>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</si>
  <si>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</si>
  <si>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</si>
  <si>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</si>
  <si>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</si>
  <si>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</si>
  <si>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</si>
  <si>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</si>
  <si>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</si>
  <si>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</si>
  <si>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</si>
  <si>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</si>
  <si>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</si>
  <si>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</si>
  <si>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</si>
  <si>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</si>
  <si>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</si>
  <si>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</si>
  <si>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</si>
  <si>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</si>
  <si>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</si>
  <si>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</si>
  <si>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</si>
  <si>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</si>
  <si>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</si>
  <si>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</si>
  <si>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</si>
  <si>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</si>
  <si>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</si>
  <si>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</si>
  <si>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</si>
  <si>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</si>
  <si>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</si>
  <si>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</si>
  <si>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</si>
  <si>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</si>
  <si>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</si>
  <si>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</si>
  <si>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</si>
  <si>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</si>
  <si>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</si>
  <si>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</si>
  <si>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</si>
  <si>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</si>
  <si>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</si>
  <si>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</si>
  <si>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</si>
  <si>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</si>
  <si>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</si>
  <si>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</si>
  <si>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</si>
  <si>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</si>
  <si>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</si>
  <si>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</si>
  <si>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</si>
  <si>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</si>
  <si>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</si>
  <si>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</si>
  <si>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</si>
  <si>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</si>
  <si>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</si>
  <si>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</si>
  <si>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</si>
  <si>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</si>
  <si>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</si>
  <si>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</si>
  <si>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</si>
  <si>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</si>
  <si>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</si>
  <si>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</si>
  <si>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</si>
  <si>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</si>
  <si>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</si>
  <si>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</si>
  <si>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</si>
  <si>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</si>
  <si>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</si>
  <si>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</si>
  <si>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</si>
  <si>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</si>
  <si>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</si>
  <si>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</si>
  <si>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</si>
  <si>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</si>
  <si>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</si>
  <si>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</si>
  <si>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</si>
  <si>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</si>
  <si>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</si>
  <si>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</si>
  <si>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</si>
  <si>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</si>
  <si>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</si>
  <si>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</si>
  <si>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</si>
  <si>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</si>
  <si>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</si>
  <si>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</si>
  <si>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</si>
  <si>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</si>
  <si>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</si>
  <si>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</si>
  <si>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</si>
  <si>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</si>
  <si>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</si>
  <si>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</si>
  <si>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</si>
  <si>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</si>
  <si>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</si>
  <si>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</si>
  <si>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</si>
  <si>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</si>
  <si>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</si>
  <si>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</si>
  <si>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</si>
  <si>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</si>
  <si>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</si>
  <si>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</si>
  <si>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</si>
  <si>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</si>
  <si>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</si>
  <si>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</si>
  <si>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</si>
  <si>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</si>
  <si>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</si>
  <si>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</si>
  <si>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</si>
  <si>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</si>
  <si>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</si>
  <si>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</si>
  <si>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</si>
  <si>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</si>
  <si>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</si>
  <si>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</si>
  <si>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</si>
  <si>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</si>
  <si>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</si>
  <si>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</si>
  <si>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</si>
  <si>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</si>
  <si>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</si>
  <si>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</si>
  <si>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</si>
  <si>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</si>
  <si>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</si>
  <si>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</si>
  <si>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</si>
  <si>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</si>
  <si>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</si>
  <si>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</si>
  <si>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</si>
  <si>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</si>
  <si>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</si>
  <si>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</si>
  <si>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</si>
  <si>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</si>
  <si>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</si>
  <si>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</si>
  <si>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</si>
  <si>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</si>
  <si>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</si>
  <si>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</si>
  <si>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</si>
  <si>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</si>
  <si>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</si>
  <si>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</si>
  <si>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</si>
  <si>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</si>
  <si>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</si>
  <si>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</si>
  <si>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</si>
  <si>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</si>
  <si>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</si>
  <si>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</si>
  <si>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</si>
  <si>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</si>
  <si>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</si>
  <si>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</si>
  <si>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</si>
  <si>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</si>
  <si>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</si>
  <si>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</si>
  <si>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</si>
  <si>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</si>
  <si>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</si>
  <si>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</si>
  <si>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</si>
  <si>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</si>
  <si>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</si>
  <si>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</si>
  <si>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</si>
  <si>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</si>
  <si>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</si>
  <si>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</si>
  <si>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</si>
  <si>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</si>
  <si>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</si>
  <si>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</si>
  <si>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</si>
  <si>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</si>
  <si>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</si>
  <si>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</si>
  <si>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</si>
  <si>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</si>
  <si>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</si>
  <si>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</si>
  <si>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</si>
  <si>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</si>
  <si>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</si>
  <si>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</si>
  <si>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</si>
  <si>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</si>
  <si>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</si>
  <si>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</si>
  <si>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</si>
  <si>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</si>
  <si>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</si>
  <si>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</si>
  <si>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</si>
  <si>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</si>
  <si>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</si>
  <si>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</si>
  <si>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</si>
  <si>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</si>
  <si>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</si>
  <si>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</si>
  <si>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</si>
  <si>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</si>
  <si>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</si>
  <si>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Gender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</si>
  <si>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</si>
  <si>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</si>
  <si>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</si>
  <si>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</si>
  <si>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</si>
  <si>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</si>
  <si>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</si>
  <si>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</si>
  <si>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</si>
  <si>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</si>
  <si>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</si>
  <si>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</si>
  <si>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</si>
  <si>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</si>
  <si>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</si>
  <si>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</si>
  <si>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</si>
  <si>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</si>
  <si>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</si>
  <si>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</si>
  <si>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</si>
  <si>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</si>
  <si>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</si>
  <si>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</si>
  <si>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</si>
  <si>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</si>
  <si>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</si>
  <si>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</si>
  <si>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</si>
  <si>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</si>
  <si>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</si>
  <si>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</si>
  <si>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</si>
  <si>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</si>
  <si>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</si>
  <si>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</si>
  <si>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</si>
  <si>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</si>
  <si>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</si>
  <si>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</si>
  <si>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</si>
  <si>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</si>
  <si>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</si>
  <si>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</si>
  <si>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Description</t>
  </si>
  <si>
    <t>data type</t>
  </si>
  <si>
    <t>questions</t>
  </si>
  <si>
    <t xml:space="preserve"> Unique identifier for each call record in the dataset</t>
  </si>
  <si>
    <t>Numeric</t>
  </si>
  <si>
    <t>How many total calls were received? , What is the call volume trend by period (daily/weekly/monthly) ?</t>
  </si>
  <si>
    <t>Unique identifier assigned to each customer</t>
  </si>
  <si>
    <t xml:space="preserve">How many unique customers interacted with the call center?
What is the repeat-caller frequency?
</t>
  </si>
  <si>
    <t>Total duration of the call in minutes</t>
  </si>
  <si>
    <t>What is the average call duration?
Which representatives have longer or shorter call times?
Is duration related to satisfaction ?</t>
  </si>
  <si>
    <t>The agent who handled the call</t>
  </si>
  <si>
    <r>
      <t xml:space="preserve">
</t>
    </r>
    <r>
      <rPr>
        <sz val="9"/>
        <color theme="1"/>
        <rFont val="Segoe UI"/>
        <family val="2"/>
      </rPr>
      <t xml:space="preserve">Who are the top-performing agents?
Which agent receives the most calls?
Which agent has the highest satisfaction score?
</t>
    </r>
  </si>
  <si>
    <t>The date when the customer made the call</t>
  </si>
  <si>
    <r>
      <t xml:space="preserve">
</t>
    </r>
    <r>
      <rPr>
        <sz val="10"/>
        <color theme="1"/>
        <rFont val="Segoe UI"/>
        <family val="2"/>
      </rPr>
      <t xml:space="preserve">
What is the busiest day/month?
How does call volume change over time?
Seasonal or weekly patterns?</t>
    </r>
  </si>
  <si>
    <t>The monetary value associated with the customer’s purchase (if applicable)</t>
  </si>
  <si>
    <t xml:space="preserve">
What is the total revenue generated?
Do customers with higher purchases require more support?
Does call duration correlate with purchase amount?
</t>
  </si>
  <si>
    <t>Kpis</t>
  </si>
  <si>
    <t>Count of Call number</t>
  </si>
  <si>
    <t>Sum of Purchase Amount</t>
  </si>
  <si>
    <t>Values</t>
  </si>
  <si>
    <t>Total Calls</t>
  </si>
  <si>
    <t>Average duration</t>
  </si>
  <si>
    <t>Average satisfaction</t>
  </si>
  <si>
    <t>Total Purchase Amount</t>
  </si>
  <si>
    <t>Sunday</t>
  </si>
  <si>
    <t>Monday</t>
  </si>
  <si>
    <t>Tuesday</t>
  </si>
  <si>
    <t>Wednesday</t>
  </si>
  <si>
    <t>Thursday</t>
  </si>
  <si>
    <t>Friday</t>
  </si>
  <si>
    <t>Saturday</t>
  </si>
  <si>
    <t>Calls by days of week</t>
  </si>
  <si>
    <t>Calls by months</t>
  </si>
  <si>
    <t>Months (Date of Call)</t>
  </si>
  <si>
    <t>Jan</t>
  </si>
  <si>
    <t>Feb</t>
  </si>
  <si>
    <t>Mar</t>
  </si>
  <si>
    <t>Apr</t>
  </si>
  <si>
    <t>May</t>
  </si>
  <si>
    <t>Jun</t>
  </si>
  <si>
    <t>Jul</t>
  </si>
  <si>
    <t>Aug</t>
  </si>
  <si>
    <t>Sep</t>
  </si>
  <si>
    <t>Oct</t>
  </si>
  <si>
    <t>Nov</t>
  </si>
  <si>
    <t>Dec</t>
  </si>
  <si>
    <t>Sales over months</t>
  </si>
  <si>
    <t>Purchase Per Agent</t>
  </si>
  <si>
    <t>Calls over cities</t>
  </si>
  <si>
    <t>Gender</t>
  </si>
  <si>
    <t>Calls per Agent</t>
  </si>
  <si>
    <t>Agent Performance</t>
  </si>
  <si>
    <t>Average of Satisfaction Rating</t>
  </si>
  <si>
    <t>Average of Duration</t>
  </si>
  <si>
    <t>Customers page</t>
  </si>
  <si>
    <t>Customers Kpis</t>
  </si>
  <si>
    <t>Row Labels</t>
  </si>
  <si>
    <t>Count of Customer ID</t>
  </si>
  <si>
    <t>Average of Age</t>
  </si>
  <si>
    <t>Unique customers</t>
  </si>
  <si>
    <t>age grouping</t>
  </si>
  <si>
    <t>Calls by city</t>
  </si>
  <si>
    <t>Top 5 frequent customers</t>
  </si>
  <si>
    <t>Age by satisfication</t>
  </si>
  <si>
    <t xml:space="preserve">Gender Percent </t>
  </si>
  <si>
    <t xml:space="preserve">Satisfaction per city </t>
  </si>
  <si>
    <t>Satisfaction per duration</t>
  </si>
  <si>
    <t>Overview Page</t>
  </si>
  <si>
    <t>Text</t>
  </si>
  <si>
    <t>Numeric (minutes)</t>
  </si>
  <si>
    <t>Date</t>
  </si>
  <si>
    <t>Customer rating of the call on a 0 to 5 scale</t>
  </si>
  <si>
    <t>Fiscal year of the call (July to June year; calls after June belong to the next FY)</t>
  </si>
  <si>
    <t>Weekday name of the call date</t>
  </si>
  <si>
    <t>Duration group: Under 10 mins, 10 to 30, 30 to 60, 1 to 2 hours, More than 2 hours</t>
  </si>
  <si>
    <t>Satisfaction Rating rounded to the nearest whole number</t>
  </si>
  <si>
    <t>Customer ID in the customers table (lookup key)</t>
  </si>
  <si>
    <t>Customer gender (Male or Female)</t>
  </si>
  <si>
    <t>Customer age in years</t>
  </si>
  <si>
    <t>City of the customer (Cincinnati, Cleveland, Columbus)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</si>
</sst>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0.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2"/>
      <color theme="1"/>
      <name val="Aptos"/>
      <family val="2"/>
      <scheme val="minor"/>
    </font>
    <font>
      <sz val="10"/>
      <color theme="1"/>
      <name val="Aptos"/>
      <family val="2"/>
      <scheme val="minor"/>
    </font>
    <font>
      <sz val="4"/>
      <color theme="1"/>
      <name val="Segoe UI"/>
      <family val="2"/>
    </font>
    <font>
      <sz val="8"/>
      <color theme="1"/>
      <name val="Segoe UI"/>
      <family val="2"/>
    </font>
    <font>
      <sz val="9"/>
      <color theme="1"/>
      <name val="Segoe UI"/>
      <family val="2"/>
    </font>
    <font>
      <sz val="10"/>
      <color theme="1"/>
      <name val="Segoe UI"/>
      <family val="2"/>
    </font>
    <font>
      <b/>
      <sz val="16"/>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rgb="FFFFF9F3"/>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4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1" fillId="0" borderId="0" xfId="0" applyFont="1" applyAlignment="1">
      <alignment horizontal="right"/>
    </xf>
    <xf numFmtId="0" fontId="5" fillId="0" borderId="0" xfId="0" applyFont="1"/>
    <xf numFmtId="49" fontId="8" fillId="0" borderId="0" xfId="0" applyNumberFormat="1"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49" fontId="1" fillId="0" borderId="0" xfId="0" applyNumberFormat="1" applyFon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wrapText="1" indent="1"/>
    </xf>
    <xf numFmtId="0" fontId="6" fillId="0" borderId="0" xfId="0" applyFont="1" applyAlignment="1">
      <alignment horizontal="left" wrapText="1" indent="1"/>
    </xf>
    <xf numFmtId="0" fontId="7" fillId="0" borderId="0" xfId="0" applyFont="1" applyAlignment="1">
      <alignment vertical="center"/>
    </xf>
    <xf numFmtId="0" fontId="9" fillId="0" borderId="0" xfId="0" applyFont="1" applyAlignment="1">
      <alignment horizontal="left" vertical="center" wrapText="1" indent="1"/>
    </xf>
    <xf numFmtId="0" fontId="10" fillId="3" borderId="0" xfId="0" applyFont="1" applyFill="1"/>
    <xf numFmtId="0" fontId="0" fillId="0" borderId="0" xfId="0" pivotButton="1"/>
    <xf numFmtId="0" fontId="0" fillId="4" borderId="0" xfId="0" applyFill="1"/>
    <xf numFmtId="165" fontId="0" fillId="0" borderId="0" xfId="0" applyNumberFormat="1"/>
    <xf numFmtId="1" fontId="0" fillId="0" borderId="0" xfId="0" applyNumberFormat="1"/>
    <xf numFmtId="0" fontId="1" fillId="5" borderId="10" xfId="0" applyFont="1" applyFill="1" applyBorder="1"/>
    <xf numFmtId="2" fontId="0" fillId="0" borderId="0" xfId="0" applyNumberFormat="1"/>
    <xf numFmtId="0" fontId="1" fillId="0" borderId="10" xfId="0" applyFont="1" applyBorder="1"/>
    <xf numFmtId="0" fontId="0" fillId="0" borderId="0" xfId="0" applyAlignment="1">
      <alignment horizontal="left"/>
    </xf>
  </cellXfs>
  <cellStyles count="1">
    <cellStyle name="Normal" xfId="0" builtinId="0"/>
  </cellStyles>
  <dxfs count="32">
    <dxf>
      <numFmt numFmtId="2" formatCode="0.00"/>
    </dxf>
    <dxf>
      <numFmt numFmtId="2" formatCode="0.00"/>
    </dxf>
    <dxf>
      <numFmt numFmtId="13" formatCode="0%"/>
    </dxf>
    <dxf>
      <numFmt numFmtId="1" formatCode="0"/>
    </dxf>
    <dxf>
      <numFmt numFmtId="165" formatCode="0.0"/>
    </dxf>
    <dxf>
      <numFmt numFmtId="165" formatCode="0.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font>
        <b/>
        <i val="0"/>
        <sz val="14"/>
        <color rgb="FFFFF9F3"/>
        <name val="Dubai"/>
        <family val="2"/>
      </font>
      <border>
        <vertical/>
        <horizontal/>
      </border>
    </dxf>
    <dxf>
      <font>
        <sz val="11"/>
        <color rgb="FFFFF9F3"/>
        <name val="Dubai"/>
        <family val="2"/>
      </font>
      <fill>
        <gradientFill degree="135">
          <stop position="0">
            <color rgb="FF9F8383"/>
          </stop>
          <stop position="1">
            <color rgb="FF574964"/>
          </stop>
        </gradientFill>
      </fill>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
      <font>
        <b/>
        <i val="0"/>
        <sz val="12"/>
        <color theme="1"/>
        <name val="Dubai"/>
        <family val="2"/>
      </font>
      <border>
        <bottom style="thin">
          <color theme="4"/>
        </bottom>
        <vertical/>
        <horizontal/>
      </border>
    </dxf>
    <dxf>
      <font>
        <sz val="12"/>
        <color rgb="FFFFF9F3"/>
        <name val="Dubai"/>
        <family val="2"/>
      </font>
      <fill>
        <gradientFill degree="135">
          <stop position="0">
            <color rgb="FF9F8383"/>
          </stop>
          <stop position="1">
            <color rgb="FF574964"/>
          </stop>
        </gradientFill>
      </fill>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New slicer 2" pivot="0" table="0" count="10" xr9:uid="{C647804D-ACA0-423C-A617-060771C54B05}">
      <tableStyleElement type="wholeTable" dxfId="31"/>
      <tableStyleElement type="headerRow" dxfId="30"/>
    </tableStyle>
    <tableStyle name="Slicer Style 1" pivot="0" table="0" count="1" xr9:uid="{25BABDA2-DB3D-41F6-98D0-3EE7CBB0176F}">
      <tableStyleElement type="wholeTable" dxfId="29"/>
    </tableStyle>
    <tableStyle name="SlicerStyleDark5 2" pivot="0" table="0" count="10" xr9:uid="{56CE8539-80D0-48AD-B29B-27F467965069}">
      <tableStyleElement type="wholeTable" dxfId="28"/>
      <tableStyleElement type="headerRow" dxfId="27"/>
    </tableStyle>
    <tableStyle name="TimeSlicerStyleLight1 2" pivot="0" table="0" count="9" xr9:uid="{876C9802-0DF8-4D23-8AED-6E8E69BBB56B}">
      <tableStyleElement type="wholeTable" dxfId="26"/>
      <tableStyleElement type="headerRow" dxfId="25"/>
    </tableStyle>
  </tableStyles>
  <colors>
    <mruColors>
      <color rgb="FFFFF9F3"/>
      <color rgb="FF9F8383"/>
      <color rgb="FF866868"/>
      <color rgb="FFBDABAB"/>
      <color rgb="FF574964"/>
      <color rgb="FFFFDAB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135">
              <stop position="0">
                <color rgb="FFFFF9F3"/>
              </stop>
              <stop position="1">
                <color rgb="FF9F8383"/>
              </stop>
            </gradientFill>
          </fill>
          <border diagonalUp="0" diagonalDown="0">
            <left/>
            <right/>
            <top/>
            <bottom/>
            <vertical/>
            <horizontal/>
          </border>
        </dxf>
        <dxf>
          <font>
            <color rgb="FF000000"/>
          </font>
          <fill>
            <gradientFill degree="135">
              <stop position="0">
                <color rgb="FFFFF9F3"/>
              </stop>
              <stop position="1">
                <color rgb="FF9F8383"/>
              </stop>
            </gradientFill>
          </fill>
          <border>
            <left style="thin">
              <color rgb="FF999999"/>
            </left>
            <right style="thin">
              <color rgb="FF999999"/>
            </right>
            <top style="thin">
              <color rgb="FF999999"/>
            </top>
            <bottom style="thin">
              <color rgb="FF999999"/>
            </bottom>
            <vertical/>
            <horizontal/>
          </border>
        </dxf>
        <dxf>
          <font>
            <color rgb="FF828282"/>
          </font>
          <fill>
            <gradientFill degree="135">
              <stop position="0">
                <color rgb="FFFFF9F3"/>
              </stop>
              <stop position="1">
                <color rgb="FF9F8383"/>
              </stop>
            </gradientFill>
          </fill>
          <border>
            <left style="thin">
              <color rgb="FFCCCCCC"/>
            </left>
            <right style="thin">
              <color rgb="FFCCCCCC"/>
            </right>
            <top style="thin">
              <color rgb="FFCCCCCC"/>
            </top>
            <bottom style="thin">
              <color rgb="FFCCCCCC"/>
            </bottom>
            <vertical/>
            <horizontal/>
          </border>
        </dxf>
        <dxf>
          <font>
            <sz val="12"/>
            <color rgb="FFFFF9F3"/>
            <name val="Dubai"/>
            <family val="2"/>
          </font>
          <fill>
            <gradientFill degree="135">
              <stop position="0">
                <color rgb="FF9F8383"/>
              </stop>
              <stop position="1">
                <color rgb="FF9F8383"/>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135">
              <stop position="0">
                <color rgb="FFFFF9F3"/>
              </stop>
              <stop position="1">
                <color auto="1"/>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135">
              <stop position="0">
                <color rgb="FF9F8383"/>
              </stop>
              <stop position="1">
                <color rgb="FF574964"/>
              </stop>
            </gradientFill>
          </fill>
          <border>
            <left style="thin">
              <color auto="1"/>
            </left>
            <right style="thin">
              <color auto="1"/>
            </right>
            <top style="thin">
              <color auto="1"/>
            </top>
            <bottom style="thin">
              <color auto="1"/>
            </bottom>
            <vertical/>
            <horizontal/>
          </border>
        </dxf>
        <dxf>
          <font>
            <sz val="9"/>
            <color rgb="FFFFF9F3"/>
            <name val="Dubai"/>
            <family val="2"/>
            <scheme val="none"/>
          </font>
          <border>
            <left/>
            <right/>
            <top/>
            <bottom/>
            <vertical/>
            <horizontal/>
          </border>
        </dxf>
        <dxf>
          <font>
            <sz val="9"/>
            <color rgb="FFFFF9F3"/>
            <name val="Dubai"/>
            <family val="2"/>
          </font>
          <border>
            <left/>
            <right/>
            <top/>
            <bottom/>
            <vertical/>
            <horizontal/>
          </border>
        </dxf>
        <dxf>
          <font>
            <sz val="11"/>
            <color rgb="FFFFF9F3"/>
            <name val="Dubai"/>
            <family val="2"/>
          </font>
          <border>
            <left/>
            <right/>
            <top/>
            <bottom/>
            <vertical/>
            <horizontal/>
          </border>
        </dxf>
        <dxf>
          <font>
            <b/>
            <i val="0"/>
            <sz val="11"/>
            <color rgb="FFFFF9F3"/>
            <name val="Dubai"/>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[Call_Center_Dashboard.xlsx]Pivot!pvt_callsbydays</c:name>
    <c:fmtId val="4"/>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Calls Over Days</a:t>
            </a:r>
          </a:p>
        </c:rich>
      </c:tx>
      <c:layout>
        <c:manualLayout>
          <c:xMode val="edge"/>
          <c:yMode val="edge"/>
          <c:x val="3.5840530101194819E-2"/>
          <c:y val="3.25594899696901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FFF9F3"/>
              </a:gs>
              <a:gs pos="75000">
                <a:srgbClr val="9F8383"/>
              </a:gs>
            </a:gsLst>
            <a:lin ang="5400000" scaled="1"/>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60668411404494E-2"/>
          <c:y val="0.14088961399145142"/>
          <c:w val="0.94047866317719098"/>
          <c:h val="0.76153327951562733"/>
        </c:manualLayout>
      </c:layout>
      <c:barChart>
        <c:barDir val="col"/>
        <c:grouping val="clustered"/>
        <c:varyColors val="0"/>
        <c:ser>
          <c:idx val="0"/>
          <c:order val="0"/>
          <c:tx>
            <c:strRef>
              <c:f>Pivot!$B$13</c:f>
              <c:strCache>
                <c:ptCount val="1"/>
                <c:pt idx="0">
                  <c:v>Total</c:v>
                </c:pt>
              </c:strCache>
            </c:strRef>
          </c:tx>
          <c:spPr>
            <a:gradFill>
              <a:gsLst>
                <a:gs pos="100000">
                  <a:srgbClr val="FFF9F3"/>
                </a:gs>
                <a:gs pos="75000">
                  <a:srgbClr val="9F8383"/>
                </a:gs>
              </a:gsLst>
              <a:lin ang="5400000" scaled="1"/>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Pivot!$A$14:$A$20</c:f>
              <c:strCache>
                <c:ptCount val="7"/>
                <c:pt idx="0">
                  <c:v>Sunday</c:v>
                </c:pt>
                <c:pt idx="1">
                  <c:v>Monday</c:v>
                </c:pt>
                <c:pt idx="2">
                  <c:v>Tuesday</c:v>
                </c:pt>
                <c:pt idx="3">
                  <c:v>Wednesday</c:v>
                </c:pt>
                <c:pt idx="4">
                  <c:v>Thursday</c:v>
                </c:pt>
                <c:pt idx="5">
                  <c:v>Friday</c:v>
                </c:pt>
                <c:pt idx="6">
                  <c:v>Saturday</c:v>
                </c:pt>
              </c:strCache>
            </c:strRef>
          </c:cat>
          <c:val>
            <c:numRef>
              <c:f>Pivot!$B$14:$B$20</c:f>
              <c:numCache>
                <c:formatCode>General</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1-73D5-4786-882A-F5E722D82CB4}"/>
            </c:ext>
          </c:extLst>
        </c:ser>
        <c:dLbls>
          <c:dLblPos val="outEnd"/>
          <c:showLegendKey val="0"/>
          <c:showVal val="1"/>
          <c:showCatName val="0"/>
          <c:showSerName val="0"/>
          <c:showPercent val="0"/>
          <c:showBubbleSize val="0"/>
        </c:dLbls>
        <c:gapWidth val="216"/>
        <c:overlap val="-27"/>
        <c:axId val="1056762240"/>
        <c:axId val="1056761280"/>
      </c:barChart>
      <c:catAx>
        <c:axId val="10567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056761280"/>
        <c:crosses val="autoZero"/>
        <c:auto val="1"/>
        <c:lblAlgn val="ctr"/>
        <c:lblOffset val="100"/>
        <c:noMultiLvlLbl val="0"/>
      </c:catAx>
      <c:valAx>
        <c:axId val="1056761280"/>
        <c:scaling>
          <c:orientation val="minMax"/>
        </c:scaling>
        <c:delete val="1"/>
        <c:axPos val="l"/>
        <c:numFmt formatCode="General" sourceLinked="1"/>
        <c:majorTickMark val="none"/>
        <c:minorTickMark val="none"/>
        <c:tickLblPos val="nextTo"/>
        <c:crossAx val="105676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[Call_Center_Dashboard.xlsx]Pivot!pvt_callsovermonths</c:name>
    <c:fmtId val="10"/>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Calls Over Months</a:t>
            </a:r>
          </a:p>
        </c:rich>
      </c:tx>
      <c:layout>
        <c:manualLayout>
          <c:xMode val="edge"/>
          <c:yMode val="edge"/>
          <c:x val="3.5840536422768757E-2"/>
          <c:y val="3.25594899696901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72222222222219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972222222222219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9F8383"/>
            </a:solidFill>
            <a:round/>
          </a:ln>
          <a:effectLst/>
        </c:spPr>
        <c:marker>
          <c:symbol val="circle"/>
          <c:size val="5"/>
          <c:spPr>
            <a:solidFill>
              <a:srgbClr val="FFF9F3"/>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9F8383"/>
            </a:solidFill>
            <a:round/>
          </a:ln>
          <a:effectLst/>
        </c:spPr>
        <c:marker>
          <c:symbol val="circle"/>
          <c:size val="5"/>
          <c:spPr>
            <a:solidFill>
              <a:srgbClr val="FFF9F3"/>
            </a:solidFill>
            <a:ln w="9525">
              <a:solidFill>
                <a:schemeClr val="accent1"/>
              </a:solidFill>
            </a:ln>
            <a:effectLst/>
          </c:spPr>
        </c:marker>
        <c:dLbl>
          <c:idx val="0"/>
          <c:layout>
            <c:manualLayout>
              <c:x val="-3.6972222222222219E-2"/>
              <c:y val="5.327537182852143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9F8383"/>
            </a:solidFill>
            <a:round/>
          </a:ln>
          <a:effectLst/>
        </c:spPr>
        <c:marker>
          <c:symbol val="circle"/>
          <c:size val="5"/>
          <c:spPr>
            <a:solidFill>
              <a:srgbClr val="FFF9F3"/>
            </a:solidFill>
            <a:ln w="9525">
              <a:solidFill>
                <a:schemeClr val="accent1"/>
              </a:solidFill>
            </a:ln>
            <a:effectLst/>
          </c:spPr>
        </c:marker>
        <c:dLbl>
          <c:idx val="0"/>
          <c:layout>
            <c:manualLayout>
              <c:x val="-4.1416666666666692E-2"/>
              <c:y val="6.62038530480849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c:f>
              <c:strCache>
                <c:ptCount val="1"/>
                <c:pt idx="0">
                  <c:v>Total</c:v>
                </c:pt>
              </c:strCache>
            </c:strRef>
          </c:tx>
          <c:spPr>
            <a:ln w="28575" cap="rnd">
              <a:solidFill>
                <a:srgbClr val="9F8383"/>
              </a:solidFill>
              <a:round/>
            </a:ln>
            <a:effectLst/>
          </c:spPr>
          <c:marker>
            <c:symbol val="circle"/>
            <c:size val="5"/>
            <c:spPr>
              <a:solidFill>
                <a:srgbClr val="FFF9F3"/>
              </a:solidFill>
              <a:ln w="9525">
                <a:solidFill>
                  <a:schemeClr val="accent1"/>
                </a:solidFill>
              </a:ln>
              <a:effectLst/>
            </c:spPr>
          </c:marker>
          <c:dPt>
            <c:idx val="1"/>
            <c:marker>
              <c:symbol val="circle"/>
              <c:size val="5"/>
              <c:spPr>
                <a:solidFill>
                  <a:srgbClr val="FFF9F3"/>
                </a:solidFill>
                <a:ln w="9525">
                  <a:solidFill>
                    <a:schemeClr val="accent1"/>
                  </a:solidFill>
                </a:ln>
                <a:effectLst/>
              </c:spPr>
            </c:marker>
            <c:bubble3D val="0"/>
            <c:spPr>
              <a:ln w="28575" cap="rnd">
                <a:solidFill>
                  <a:srgbClr val="9F8383"/>
                </a:solidFill>
                <a:round/>
              </a:ln>
              <a:effectLst/>
            </c:spPr>
            <c:extLst>
              <c:ext xmlns:c16="http://schemas.microsoft.com/office/drawing/2014/chart" uri="{C3380CC4-5D6E-409C-BE32-E72D297353CC}">
                <c16:uniqueId val="{00000002-895E-481B-BA2D-D82444D6D480}"/>
              </c:ext>
            </c:extLst>
          </c:dPt>
          <c:dPt>
            <c:idx val="10"/>
            <c:marker>
              <c:symbol val="circle"/>
              <c:size val="5"/>
              <c:spPr>
                <a:solidFill>
                  <a:srgbClr val="FFF9F3"/>
                </a:solidFill>
                <a:ln w="9525">
                  <a:solidFill>
                    <a:schemeClr val="accent1"/>
                  </a:solidFill>
                </a:ln>
                <a:effectLst/>
              </c:spPr>
            </c:marker>
            <c:bubble3D val="0"/>
            <c:spPr>
              <a:ln w="28575" cap="rnd">
                <a:solidFill>
                  <a:srgbClr val="9F8383"/>
                </a:solidFill>
                <a:round/>
              </a:ln>
              <a:effectLst/>
            </c:spPr>
            <c:extLst>
              <c:ext xmlns:c16="http://schemas.microsoft.com/office/drawing/2014/chart" uri="{C3380CC4-5D6E-409C-BE32-E72D297353CC}">
                <c16:uniqueId val="{00000000-895E-481B-BA2D-D82444D6D480}"/>
              </c:ext>
            </c:extLst>
          </c:dPt>
          <c:dLbls>
            <c:dLbl>
              <c:idx val="1"/>
              <c:layout>
                <c:manualLayout>
                  <c:x val="-4.1416666666666692E-2"/>
                  <c:y val="6.6203853048084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5E-481B-BA2D-D82444D6D480}"/>
                </c:ext>
              </c:extLst>
            </c:dLbl>
            <c:dLbl>
              <c:idx val="10"/>
              <c:layout>
                <c:manualLayout>
                  <c:x val="-3.6972222222222219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5E-481B-BA2D-D82444D6D48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Pivot!$B$26:$B$37</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895E-481B-BA2D-D82444D6D480}"/>
            </c:ext>
          </c:extLst>
        </c:ser>
        <c:dLbls>
          <c:dLblPos val="t"/>
          <c:showLegendKey val="0"/>
          <c:showVal val="1"/>
          <c:showCatName val="0"/>
          <c:showSerName val="0"/>
          <c:showPercent val="0"/>
          <c:showBubbleSize val="0"/>
        </c:dLbls>
        <c:marker val="1"/>
        <c:smooth val="0"/>
        <c:axId val="1983002352"/>
        <c:axId val="1982998512"/>
      </c:lineChart>
      <c:catAx>
        <c:axId val="19830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982998512"/>
        <c:crosses val="autoZero"/>
        <c:auto val="1"/>
        <c:lblAlgn val="ctr"/>
        <c:lblOffset val="100"/>
        <c:noMultiLvlLbl val="0"/>
      </c:catAx>
      <c:valAx>
        <c:axId val="1982998512"/>
        <c:scaling>
          <c:orientation val="minMax"/>
        </c:scaling>
        <c:delete val="1"/>
        <c:axPos val="l"/>
        <c:numFmt formatCode="General" sourceLinked="1"/>
        <c:majorTickMark val="none"/>
        <c:minorTickMark val="none"/>
        <c:tickLblPos val="nextTo"/>
        <c:crossAx val="19830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[Call_Center_Dashboard.xlsx]Pivot!pvt_purchaseovermonths</c:name>
    <c:fmtId val="14"/>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Purchases Over months</a:t>
            </a:r>
          </a:p>
        </c:rich>
      </c:tx>
      <c:layout>
        <c:manualLayout>
          <c:xMode val="edge"/>
          <c:yMode val="edge"/>
          <c:x val="1.7493094876279397E-2"/>
          <c:y val="3.242534909111682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F8383"/>
            </a:solidFill>
            <a:round/>
          </a:ln>
          <a:effectLst/>
        </c:spPr>
        <c:marker>
          <c:symbol val="circle"/>
          <c:size val="5"/>
          <c:spPr>
            <a:solidFill>
              <a:srgbClr val="FFF9F3"/>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Pivot!$B$42</c:f>
              <c:strCache>
                <c:ptCount val="1"/>
                <c:pt idx="0">
                  <c:v>Total</c:v>
                </c:pt>
              </c:strCache>
            </c:strRef>
          </c:tx>
          <c:spPr>
            <a:ln w="28575" cap="rnd">
              <a:solidFill>
                <a:srgbClr val="9F8383"/>
              </a:solidFill>
              <a:round/>
            </a:ln>
            <a:effectLst/>
          </c:spPr>
          <c:marker>
            <c:symbol val="circle"/>
            <c:size val="5"/>
            <c:spPr>
              <a:solidFill>
                <a:srgbClr val="FFF9F3"/>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Pivot!$B$43:$B$54</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smooth val="1"/>
          <c:extLst>
            <c:ext xmlns:c16="http://schemas.microsoft.com/office/drawing/2014/chart" uri="{C3380CC4-5D6E-409C-BE32-E72D297353CC}">
              <c16:uniqueId val="{00000000-24CC-4119-BB2F-35EF756B16D5}"/>
            </c:ext>
          </c:extLst>
        </c:ser>
        <c:dLbls>
          <c:dLblPos val="t"/>
          <c:showLegendKey val="0"/>
          <c:showVal val="1"/>
          <c:showCatName val="0"/>
          <c:showSerName val="0"/>
          <c:showPercent val="0"/>
          <c:showBubbleSize val="0"/>
        </c:dLbls>
        <c:marker val="1"/>
        <c:smooth val="0"/>
        <c:axId val="465727168"/>
        <c:axId val="465727648"/>
      </c:lineChart>
      <c:catAx>
        <c:axId val="46572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465727648"/>
        <c:crosses val="autoZero"/>
        <c:auto val="1"/>
        <c:lblAlgn val="ctr"/>
        <c:lblOffset val="100"/>
        <c:noMultiLvlLbl val="0"/>
      </c:catAx>
      <c:valAx>
        <c:axId val="465727648"/>
        <c:scaling>
          <c:orientation val="minMax"/>
        </c:scaling>
        <c:delete val="1"/>
        <c:axPos val="l"/>
        <c:numFmt formatCode="General" sourceLinked="1"/>
        <c:majorTickMark val="none"/>
        <c:minorTickMark val="none"/>
        <c:tickLblPos val="nextTo"/>
        <c:crossAx val="46572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[Call_Center_Dashboard.xlsx]Pivot!pvt_purchaseperagent</c:name>
    <c:fmtId val="4"/>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Purchase Per Agent</a:t>
            </a:r>
          </a:p>
        </c:rich>
      </c:tx>
      <c:layout>
        <c:manualLayout>
          <c:xMode val="edge"/>
          <c:yMode val="edge"/>
          <c:x val="3.5677877924769542E-2"/>
          <c:y val="4.19915917623738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838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rgbClr val="9F838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Pivot!$D$5:$D$9</c:f>
              <c:strCache>
                <c:ptCount val="5"/>
                <c:pt idx="0">
                  <c:v>R01</c:v>
                </c:pt>
                <c:pt idx="1">
                  <c:v>R02</c:v>
                </c:pt>
                <c:pt idx="2">
                  <c:v>R03</c:v>
                </c:pt>
                <c:pt idx="3">
                  <c:v>R04</c:v>
                </c:pt>
                <c:pt idx="4">
                  <c:v>R05</c:v>
                </c:pt>
              </c:strCache>
            </c:strRef>
          </c:cat>
          <c:val>
            <c:numRef>
              <c:f>Pivot!$E$5:$E$9</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DE8-4DB0-B84F-AD997A60FDF1}"/>
            </c:ext>
          </c:extLst>
        </c:ser>
        <c:dLbls>
          <c:showLegendKey val="0"/>
          <c:showVal val="0"/>
          <c:showCatName val="0"/>
          <c:showSerName val="0"/>
          <c:showPercent val="0"/>
          <c:showBubbleSize val="0"/>
        </c:dLbls>
        <c:gapWidth val="219"/>
        <c:overlap val="-27"/>
        <c:axId val="615630192"/>
        <c:axId val="615627792"/>
      </c:barChart>
      <c:catAx>
        <c:axId val="61563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615627792"/>
        <c:crosses val="autoZero"/>
        <c:auto val="1"/>
        <c:lblAlgn val="ctr"/>
        <c:lblOffset val="100"/>
        <c:noMultiLvlLbl val="0"/>
      </c:catAx>
      <c:valAx>
        <c:axId val="615627792"/>
        <c:scaling>
          <c:orientation val="minMax"/>
        </c:scaling>
        <c:delete val="1"/>
        <c:axPos val="l"/>
        <c:numFmt formatCode="General" sourceLinked="1"/>
        <c:majorTickMark val="none"/>
        <c:minorTickMark val="none"/>
        <c:tickLblPos val="nextTo"/>
        <c:crossAx val="61563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c:name>
    <c:fmtId val="8"/>
  </c:pivotSource>
  <c:chart>
    <c:title>
      <c:tx>
        <c:rich>
          <a:bodyPr rot="0" spcFirstLastPara="1" vertOverflow="ellipsis" vert="horz" wrap="square" anchor="ctr" anchorCtr="1"/>
          <a:lstStyle/>
          <a:p>
            <a:pPr>
              <a:defRPr sz="1600" b="1" i="0" u="none" strike="noStrike" kern="1200" baseline="0">
                <a:solidFill>
                  <a:srgbClr val="FFF9F3"/>
                </a:solidFill>
                <a:latin typeface="Dubai"/>
                <a:ea typeface="Dubai"/>
                <a:cs typeface="Dubai"/>
              </a:defRPr>
            </a:pPr>
            <a:r>
              <a:rPr lang="en-US"/>
              <a:t>Calls Over Cities</a:t>
            </a:r>
          </a:p>
        </c:rich>
      </c:tx>
      <c:layout>
        <c:manualLayout>
          <c:xMode val="edge"/>
          <c:yMode val="edge"/>
          <c:x val="3.5677884189096301E-2"/>
          <c:y val="4.1991591762373881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FFF9F3"/>
              </a:solidFill>
              <a:latin typeface="Dubai"/>
              <a:ea typeface="Dubai"/>
              <a:cs typeface="Dubai"/>
            </a:defRPr>
          </a:pPr>
          <a:endParaRPr lang="en-US"/>
        </a:p>
      </c:txPr>
    </c:title>
    <c:autoTitleDeleted val="0"/>
    <c:pivotFmts>
      <c:pivotFmt>
        <c:idx val="0"/>
        <c:spPr>
          <a:solidFill>
            <a:schemeClr val="accent1"/>
          </a:solidFill>
          <a:ln>
            <a:solidFill>
              <a:srgbClr val="FFF9F3"/>
            </a:solid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574964"/>
          </a:solidFill>
          <a:ln>
            <a:solidFill>
              <a:srgbClr val="FFF9F3"/>
            </a:solidFill>
          </a:ln>
          <a:effectLst>
            <a:outerShdw blurRad="254000" sx="102000" sy="102000" algn="ctr" rotWithShape="0">
              <a:prstClr val="black">
                <a:alpha val="20000"/>
              </a:prstClr>
            </a:outerShdw>
          </a:effectLst>
        </c:spPr>
      </c:pivotFmt>
      <c:pivotFmt>
        <c:idx val="2"/>
        <c:spPr>
          <a:solidFill>
            <a:srgbClr val="866868"/>
          </a:solidFill>
          <a:ln>
            <a:solidFill>
              <a:srgbClr val="FFF9F3"/>
            </a:solidFill>
          </a:ln>
          <a:effectLst>
            <a:outerShdw blurRad="254000" sx="102000" sy="102000" algn="ctr" rotWithShape="0">
              <a:prstClr val="black">
                <a:alpha val="20000"/>
              </a:prstClr>
            </a:outerShdw>
          </a:effectLst>
        </c:spPr>
      </c:pivotFmt>
      <c:pivotFmt>
        <c:idx val="3"/>
        <c:spPr>
          <a:solidFill>
            <a:srgbClr val="BDABAB"/>
          </a:solidFill>
          <a:ln>
            <a:solidFill>
              <a:srgbClr val="FFF9F3"/>
            </a:solidFill>
          </a:ln>
          <a:effectLst>
            <a:outerShdw blurRad="254000" sx="102000" sy="102000" algn="ctr" rotWithShape="0">
              <a:prstClr val="black">
                <a:alpha val="20000"/>
              </a:prstClr>
            </a:outerShdw>
          </a:effectLst>
        </c:spPr>
      </c:pivotFmt>
      <c:pivotFmt>
        <c:idx val="4"/>
        <c:spPr>
          <a:solidFill>
            <a:schemeClr val="accent1"/>
          </a:solidFill>
          <a:ln>
            <a:solidFill>
              <a:srgbClr val="FFF9F3"/>
            </a:solid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74964"/>
          </a:solidFill>
          <a:ln>
            <a:solidFill>
              <a:srgbClr val="FFF9F3"/>
            </a:solidFill>
          </a:ln>
          <a:effectLst>
            <a:outerShdw blurRad="254000" sx="102000" sy="102000" algn="ctr" rotWithShape="0">
              <a:prstClr val="black">
                <a:alpha val="20000"/>
              </a:prstClr>
            </a:outerShdw>
          </a:effectLst>
        </c:spPr>
      </c:pivotFmt>
      <c:pivotFmt>
        <c:idx val="6"/>
        <c:spPr>
          <a:solidFill>
            <a:srgbClr val="BDABAB"/>
          </a:solidFill>
          <a:ln>
            <a:solidFill>
              <a:srgbClr val="FFF9F3"/>
            </a:solidFill>
          </a:ln>
          <a:effectLst>
            <a:outerShdw blurRad="254000" sx="102000" sy="102000" algn="ctr" rotWithShape="0">
              <a:prstClr val="black">
                <a:alpha val="20000"/>
              </a:prstClr>
            </a:outerShdw>
          </a:effectLst>
        </c:spPr>
      </c:pivotFmt>
      <c:pivotFmt>
        <c:idx val="7"/>
        <c:spPr>
          <a:solidFill>
            <a:srgbClr val="866868"/>
          </a:solidFill>
          <a:ln>
            <a:solidFill>
              <a:srgbClr val="FFF9F3"/>
            </a:solid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Dubai"/>
                  <a:ea typeface="Dubai"/>
                  <a:cs typeface="Dubai"/>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74964"/>
          </a:solidFill>
          <a:ln>
            <a:noFill/>
          </a:ln>
          <a:effectLst>
            <a:outerShdw blurRad="254000" sx="102000" sy="102000" algn="ctr" rotWithShape="0">
              <a:prstClr val="black">
                <a:alpha val="20000"/>
              </a:prstClr>
            </a:outerShdw>
          </a:effectLst>
        </c:spPr>
      </c:pivotFmt>
      <c:pivotFmt>
        <c:idx val="10"/>
        <c:spPr>
          <a:solidFill>
            <a:srgbClr val="BDABAB"/>
          </a:solidFill>
          <a:ln>
            <a:noFill/>
          </a:ln>
          <a:effectLst>
            <a:outerShdw blurRad="254000" sx="102000" sy="102000" algn="ctr" rotWithShape="0">
              <a:prstClr val="black">
                <a:alpha val="20000"/>
              </a:prstClr>
            </a:outerShdw>
          </a:effectLst>
        </c:spPr>
      </c:pivotFmt>
      <c:pivotFmt>
        <c:idx val="11"/>
        <c:spPr>
          <a:solidFill>
            <a:srgbClr val="866868"/>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Pivot!$E$15</c:f>
              <c:strCache>
                <c:ptCount val="1"/>
                <c:pt idx="0">
                  <c:v>Total</c:v>
                </c:pt>
              </c:strCache>
            </c:strRef>
          </c:tx>
          <c:spPr>
            <a:ln>
              <a:noFill/>
            </a:ln>
          </c:spPr>
          <c:dPt>
            <c:idx val="0"/>
            <c:bubble3D val="0"/>
            <c:spPr>
              <a:solidFill>
                <a:srgbClr val="57496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54-47D7-875E-1C922394A282}"/>
              </c:ext>
            </c:extLst>
          </c:dPt>
          <c:dPt>
            <c:idx val="1"/>
            <c:bubble3D val="0"/>
            <c:spPr>
              <a:solidFill>
                <a:srgbClr val="BDABA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54-47D7-875E-1C922394A282}"/>
              </c:ext>
            </c:extLst>
          </c:dPt>
          <c:dPt>
            <c:idx val="2"/>
            <c:bubble3D val="0"/>
            <c:spPr>
              <a:solidFill>
                <a:srgbClr val="86686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54-47D7-875E-1C922394A28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solidFill>
                    <a:latin typeface="Dubai"/>
                    <a:ea typeface="Dubai"/>
                    <a:cs typeface="Dubai"/>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Pivot!$D$16:$D$18</c:f>
              <c:strCache>
                <c:ptCount val="3"/>
                <c:pt idx="0">
                  <c:v>Cincinnati</c:v>
                </c:pt>
                <c:pt idx="1">
                  <c:v>Cleveland</c:v>
                </c:pt>
                <c:pt idx="2">
                  <c:v>Columbus</c:v>
                </c:pt>
              </c:strCache>
            </c:strRef>
          </c:cat>
          <c:val>
            <c:numRef>
              <c:f>Pivot!$E$16:$E$18</c:f>
              <c:numCache>
                <c:formatCode>General</c:formatCode>
                <c:ptCount val="3"/>
                <c:pt idx="0">
                  <c:v>276</c:v>
                </c:pt>
                <c:pt idx="1">
                  <c:v>389</c:v>
                </c:pt>
                <c:pt idx="2">
                  <c:v>335</c:v>
                </c:pt>
              </c:numCache>
            </c:numRef>
          </c:val>
          <c:extLst>
            <c:ext xmlns:c16="http://schemas.microsoft.com/office/drawing/2014/chart" uri="{C3380CC4-5D6E-409C-BE32-E72D297353CC}">
              <c16:uniqueId val="{00000006-5154-47D7-875E-1C922394A2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t" anchorCtr="0"/>
        <a:lstStyle/>
        <a:p>
          <a:pPr>
            <a:defRPr sz="1000" b="0" i="0" u="none" strike="noStrike" kern="1200" baseline="0">
              <a:solidFill>
                <a:srgbClr val="FFF9F3"/>
              </a:solidFill>
              <a:effectLst>
                <a:outerShdw blurRad="50800" dist="50800" dir="2580000" sx="107000" sy="107000" algn="ctr" rotWithShape="0">
                  <a:srgbClr val="000000">
                    <a:alpha val="71000"/>
                  </a:srgbClr>
                </a:outerShdw>
              </a:effectLst>
              <a:latin typeface="Dubai"/>
              <a:ea typeface="Dubai"/>
              <a:cs typeface="Duba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[Call_Center_Dashboard.xlsx]Pivot!pvt_callsperagent</c:name>
    <c:fmtId val="12"/>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Calls per Agent</a:t>
            </a:r>
          </a:p>
        </c:rich>
      </c:tx>
      <c:layout>
        <c:manualLayout>
          <c:xMode val="edge"/>
          <c:yMode val="edge"/>
          <c:x val="3.5677877924769542E-2"/>
          <c:y val="4.199160911763478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gradFill>
            <a:gsLst>
              <a:gs pos="0">
                <a:srgbClr val="574964"/>
              </a:gs>
              <a:gs pos="74000">
                <a:srgbClr val="BDABA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9F3"/>
                  </a:solidFill>
                  <a:latin typeface="Dubai" panose="020B0503030403030204" pitchFamily="34" charset="-78"/>
                  <a:ea typeface="+mn-ea"/>
                  <a:cs typeface="Dubai" panose="020B0503030403030204"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574964"/>
              </a:gs>
              <a:gs pos="74000">
                <a:srgbClr val="BDABA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9F3"/>
                  </a:solidFill>
                  <a:latin typeface="Dubai" panose="020B0503030403030204" pitchFamily="34" charset="-78"/>
                  <a:ea typeface="+mn-ea"/>
                  <a:cs typeface="Dubai" panose="020B0503030403030204"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F838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39539537408596E-2"/>
          <c:y val="0.10464114406895174"/>
          <c:w val="0.9405209209251828"/>
          <c:h val="0.74899634264101778"/>
        </c:manualLayout>
      </c:layout>
      <c:barChart>
        <c:barDir val="col"/>
        <c:grouping val="stacked"/>
        <c:varyColors val="0"/>
        <c:ser>
          <c:idx val="0"/>
          <c:order val="0"/>
          <c:tx>
            <c:strRef>
              <c:f>Pivot!$E$23</c:f>
              <c:strCache>
                <c:ptCount val="1"/>
                <c:pt idx="0">
                  <c:v>Total</c:v>
                </c:pt>
              </c:strCache>
            </c:strRef>
          </c:tx>
          <c:spPr>
            <a:solidFill>
              <a:srgbClr val="9F838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Pivot!$D$24:$D$28</c:f>
              <c:strCache>
                <c:ptCount val="5"/>
                <c:pt idx="0">
                  <c:v>R01</c:v>
                </c:pt>
                <c:pt idx="1">
                  <c:v>R02</c:v>
                </c:pt>
                <c:pt idx="2">
                  <c:v>R03</c:v>
                </c:pt>
                <c:pt idx="3">
                  <c:v>R04</c:v>
                </c:pt>
                <c:pt idx="4">
                  <c:v>R05</c:v>
                </c:pt>
              </c:strCache>
            </c:strRef>
          </c:cat>
          <c:val>
            <c:numRef>
              <c:f>Pivot!$E$24:$E$28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0FE-4080-BA94-00E3543CE43F}"/>
            </c:ext>
          </c:extLst>
        </c:ser>
        <c:dLbls>
          <c:dLblPos val="ctr"/>
          <c:showLegendKey val="0"/>
          <c:showVal val="1"/>
          <c:showCatName val="0"/>
          <c:showSerName val="0"/>
          <c:showPercent val="0"/>
          <c:showBubbleSize val="0"/>
        </c:dLbls>
        <c:gapWidth val="150"/>
        <c:overlap val="100"/>
        <c:axId val="1893292896"/>
        <c:axId val="1893285216"/>
      </c:barChart>
      <c:catAx>
        <c:axId val="18932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893285216"/>
        <c:crosses val="autoZero"/>
        <c:auto val="1"/>
        <c:lblAlgn val="ctr"/>
        <c:lblOffset val="100"/>
        <c:noMultiLvlLbl val="0"/>
      </c:catAx>
      <c:valAx>
        <c:axId val="1893285216"/>
        <c:scaling>
          <c:orientation val="minMax"/>
        </c:scaling>
        <c:delete val="1"/>
        <c:axPos val="l"/>
        <c:numFmt formatCode="General" sourceLinked="1"/>
        <c:majorTickMark val="none"/>
        <c:minorTickMark val="none"/>
        <c:tickLblPos val="nextTo"/>
        <c:crossAx val="1893292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[Call_Center_Dashboard.xlsx]Pivot!pvt_agentsatsficationrate</c:name>
    <c:fmtId val="18"/>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Agent Rating</a:t>
            </a:r>
          </a:p>
        </c:rich>
      </c:tx>
      <c:layout>
        <c:manualLayout>
          <c:xMode val="edge"/>
          <c:yMode val="edge"/>
          <c:x val="3.5677884189096301E-2"/>
          <c:y val="4.199160911763478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9F3"/>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F838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Pivot!$E$32</c:f>
              <c:strCache>
                <c:ptCount val="1"/>
                <c:pt idx="0">
                  <c:v>Total</c:v>
                </c:pt>
              </c:strCache>
            </c:strRef>
          </c:tx>
          <c:spPr>
            <a:solidFill>
              <a:srgbClr val="9F838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Pivot!$D$33:$D$37</c:f>
              <c:strCache>
                <c:ptCount val="5"/>
                <c:pt idx="0">
                  <c:v>R01</c:v>
                </c:pt>
                <c:pt idx="1">
                  <c:v>R02</c:v>
                </c:pt>
                <c:pt idx="2">
                  <c:v>R03</c:v>
                </c:pt>
                <c:pt idx="3">
                  <c:v>R04</c:v>
                </c:pt>
                <c:pt idx="4">
                  <c:v>R05</c:v>
                </c:pt>
              </c:strCache>
            </c:strRef>
          </c:cat>
          <c:val>
            <c:numRef>
              <c:f>Pivot!$E$33:$E$37</c:f>
              <c:numCache>
                <c:formatCode>0.00</c:formatCode>
                <c:ptCount val="5"/>
                <c:pt idx="0">
                  <c:v>3.9227513227513247</c:v>
                </c:pt>
                <c:pt idx="1">
                  <c:v>3.8706422018348627</c:v>
                </c:pt>
                <c:pt idx="2">
                  <c:v>3.8589371980676304</c:v>
                </c:pt>
                <c:pt idx="3">
                  <c:v>3.8973118279569863</c:v>
                </c:pt>
                <c:pt idx="4">
                  <c:v>3.8824999999999998</c:v>
                </c:pt>
              </c:numCache>
            </c:numRef>
          </c:val>
          <c:extLst>
            <c:ext xmlns:c16="http://schemas.microsoft.com/office/drawing/2014/chart" uri="{C3380CC4-5D6E-409C-BE32-E72D297353CC}">
              <c16:uniqueId val="{00000000-C441-4488-AC9E-9FE1CB5D155E}"/>
            </c:ext>
          </c:extLst>
        </c:ser>
        <c:dLbls>
          <c:dLblPos val="outEnd"/>
          <c:showLegendKey val="0"/>
          <c:showVal val="1"/>
          <c:showCatName val="0"/>
          <c:showSerName val="0"/>
          <c:showPercent val="0"/>
          <c:showBubbleSize val="0"/>
        </c:dLbls>
        <c:gapWidth val="219"/>
        <c:overlap val="-27"/>
        <c:axId val="928341824"/>
        <c:axId val="928340864"/>
      </c:barChart>
      <c:catAx>
        <c:axId val="9283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928340864"/>
        <c:crosses val="autoZero"/>
        <c:auto val="1"/>
        <c:lblAlgn val="ctr"/>
        <c:lblOffset val="100"/>
        <c:noMultiLvlLbl val="0"/>
      </c:catAx>
      <c:valAx>
        <c:axId val="928340864"/>
        <c:scaling>
          <c:orientation val="minMax"/>
        </c:scaling>
        <c:delete val="1"/>
        <c:axPos val="l"/>
        <c:numFmt formatCode="0.00" sourceLinked="1"/>
        <c:majorTickMark val="none"/>
        <c:minorTickMark val="none"/>
        <c:tickLblPos val="nextTo"/>
        <c:crossAx val="92834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Duration VS Satisfaction</a:t>
            </a:r>
          </a:p>
        </c:rich>
      </c:tx>
      <c:layout>
        <c:manualLayout>
          <c:xMode val="edge"/>
          <c:yMode val="edge"/>
          <c:x val="1.465009840511473E-2"/>
          <c:y val="4.383219345183268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lotArea>
      <c:layout>
        <c:manualLayout>
          <c:layoutTarget val="inner"/>
          <c:xMode val="edge"/>
          <c:yMode val="edge"/>
          <c:x val="2.9263066885629883E-2"/>
          <c:y val="0.2410770639850798"/>
          <c:w val="0.94872407880657073"/>
          <c:h val="0.54790241814790863"/>
        </c:manualLayout>
      </c:layout>
      <c:scatterChart>
        <c:scatterStyle val="lineMarker"/>
        <c:varyColors val="0"/>
        <c:ser>
          <c:idx val="0"/>
          <c:order val="0"/>
          <c:tx>
            <c:strRef>
              <c:f>Pivot!$K$32</c:f>
              <c:strCache>
                <c:ptCount val="1"/>
                <c:pt idx="0">
                  <c:v>Average of Duration</c:v>
                </c:pt>
              </c:strCache>
            </c:strRef>
          </c:tx>
          <c:spPr>
            <a:ln w="19050" cap="rnd">
              <a:noFill/>
              <a:round/>
            </a:ln>
            <a:effectLst/>
          </c:spPr>
          <c:marker>
            <c:symbol val="circle"/>
            <c:size val="5"/>
            <c:spPr>
              <a:solidFill>
                <a:srgbClr val="FFF9F3"/>
              </a:solidFill>
              <a:ln w="31750">
                <a:noFill/>
              </a:ln>
              <a:effectLst/>
            </c:spPr>
          </c:marker>
          <c:dLbls>
            <c:dLbl>
              <c:idx val="0"/>
              <c:tx>
                <c:rich>
                  <a:bodyPr/>
                  <a:lstStyle/>
                  <a:p>
                    <a:fld id="{9D51EB58-8C00-45EB-B2E2-C06F52B332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EB9-41AF-BB29-A8DED632DC1B}"/>
                </c:ext>
              </c:extLst>
            </c:dLbl>
            <c:dLbl>
              <c:idx val="1"/>
              <c:tx>
                <c:rich>
                  <a:bodyPr/>
                  <a:lstStyle/>
                  <a:p>
                    <a:fld id="{5CD432C2-45B4-44DB-9064-88BC0C706E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EB9-41AF-BB29-A8DED632DC1B}"/>
                </c:ext>
              </c:extLst>
            </c:dLbl>
            <c:dLbl>
              <c:idx val="2"/>
              <c:tx>
                <c:rich>
                  <a:bodyPr/>
                  <a:lstStyle/>
                  <a:p>
                    <a:fld id="{0C5B736A-9294-4633-8E56-BE45B5AAA4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EB9-41AF-BB29-A8DED632DC1B}"/>
                </c:ext>
              </c:extLst>
            </c:dLbl>
            <c:dLbl>
              <c:idx val="3"/>
              <c:tx>
                <c:rich>
                  <a:bodyPr/>
                  <a:lstStyle/>
                  <a:p>
                    <a:fld id="{6BD84C56-B6CB-4F06-9DC4-B2C199EAB0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EB9-41AF-BB29-A8DED632DC1B}"/>
                </c:ext>
              </c:extLst>
            </c:dLbl>
            <c:dLbl>
              <c:idx val="4"/>
              <c:tx>
                <c:rich>
                  <a:bodyPr/>
                  <a:lstStyle/>
                  <a:p>
                    <a:fld id="{EB65EF4F-CF15-4387-8A87-5630777254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EB9-41AF-BB29-A8DED632DC1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Pivot!$J$33:$J$37</c:f>
              <c:numCache>
                <c:formatCode>0.00</c:formatCode>
                <c:ptCount val="5"/>
                <c:pt idx="0">
                  <c:v>3.9227513227513247</c:v>
                </c:pt>
                <c:pt idx="1">
                  <c:v>3.8706422018348627</c:v>
                </c:pt>
                <c:pt idx="2">
                  <c:v>3.8589371980676304</c:v>
                </c:pt>
                <c:pt idx="3">
                  <c:v>3.8973118279569863</c:v>
                </c:pt>
                <c:pt idx="4">
                  <c:v>3.8824999999999998</c:v>
                </c:pt>
              </c:numCache>
            </c:numRef>
          </c:xVal>
          <c:yVal>
            <c:numRef>
              <c:f>Pivot!$K$33:$K$37</c:f>
              <c:numCache>
                <c:formatCode>0</c:formatCode>
                <c:ptCount val="5"/>
                <c:pt idx="0">
                  <c:v>89.068783068783063</c:v>
                </c:pt>
                <c:pt idx="1">
                  <c:v>88.532110091743121</c:v>
                </c:pt>
                <c:pt idx="2">
                  <c:v>85.507246376811594</c:v>
                </c:pt>
                <c:pt idx="3">
                  <c:v>95.736559139784944</c:v>
                </c:pt>
                <c:pt idx="4">
                  <c:v>91.045000000000002</c:v>
                </c:pt>
              </c:numCache>
            </c:numRef>
          </c:yVal>
          <c:smooth val="0"/>
          <c:extLst>
            <c:ext xmlns:c15="http://schemas.microsoft.com/office/drawing/2012/chart" uri="{02D57815-91ED-43cb-92C2-25804820EDAC}">
              <c15:datalabelsRange>
                <c15:f>Pivot!$J$39:$J$43</c15:f>
                <c15:dlblRangeCache>
                  <c:ptCount val="5"/>
                  <c:pt idx="0">
                    <c:v>R01</c:v>
                  </c:pt>
                  <c:pt idx="1">
                    <c:v>R02</c:v>
                  </c:pt>
                  <c:pt idx="2">
                    <c:v>R03</c:v>
                  </c:pt>
                  <c:pt idx="3">
                    <c:v>R04</c:v>
                  </c:pt>
                  <c:pt idx="4">
                    <c:v>R05</c:v>
                  </c:pt>
                </c15:dlblRangeCache>
              </c15:datalabelsRange>
            </c:ext>
            <c:ext xmlns:c16="http://schemas.microsoft.com/office/drawing/2014/chart" uri="{C3380CC4-5D6E-409C-BE32-E72D297353CC}">
              <c16:uniqueId val="{00000005-FEB9-41AF-BB29-A8DED632DC1B}"/>
            </c:ext>
          </c:extLst>
        </c:ser>
        <c:dLbls>
          <c:showLegendKey val="0"/>
          <c:showVal val="0"/>
          <c:showCatName val="0"/>
          <c:showSerName val="0"/>
          <c:showPercent val="0"/>
          <c:showBubbleSize val="0"/>
        </c:dLbls>
        <c:axId val="2048160544"/>
        <c:axId val="1897668720"/>
      </c:scatterChart>
      <c:valAx>
        <c:axId val="2048160544"/>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897668720"/>
        <c:crosses val="autoZero"/>
        <c:crossBetween val="midCat"/>
      </c:valAx>
      <c:valAx>
        <c:axId val="189766872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2048160544"/>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[Call_Center_Dashboard.xlsx]Pivot!pvt_callsbycity</c:name>
    <c:fmtId val="15"/>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Calls Distribution By Cities</a:t>
            </a:r>
          </a:p>
        </c:rich>
      </c:tx>
      <c:layout>
        <c:manualLayout>
          <c:xMode val="edge"/>
          <c:yMode val="edge"/>
          <c:x val="3.5714285714285712E-2"/>
          <c:y val="3.238866396761133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rgbClr val="9F838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3502591975255E-2"/>
          <c:y val="0.2218136080594782"/>
          <c:w val="0.93777299481604948"/>
          <c:h val="0.56659377562575652"/>
        </c:manualLayout>
      </c:layout>
      <c:barChart>
        <c:barDir val="col"/>
        <c:grouping val="clustered"/>
        <c:varyColors val="0"/>
        <c:ser>
          <c:idx val="0"/>
          <c:order val="0"/>
          <c:tx>
            <c:strRef>
              <c:f>Pivot!$J$54</c:f>
              <c:strCache>
                <c:ptCount val="1"/>
                <c:pt idx="0">
                  <c:v>Total</c:v>
                </c:pt>
              </c:strCache>
            </c:strRef>
          </c:tx>
          <c:spPr>
            <a:solidFill>
              <a:srgbClr val="9F838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Pivot!$I$55:$I$57</c:f>
              <c:strCache>
                <c:ptCount val="3"/>
                <c:pt idx="0">
                  <c:v>Cincinnati</c:v>
                </c:pt>
                <c:pt idx="1">
                  <c:v>Cleveland</c:v>
                </c:pt>
                <c:pt idx="2">
                  <c:v>Columbus</c:v>
                </c:pt>
              </c:strCache>
            </c:strRef>
          </c:cat>
          <c:val>
            <c:numRef>
              <c:f>Pivot!$J$55:$J$57</c:f>
              <c:numCache>
                <c:formatCode>General</c:formatCode>
                <c:ptCount val="3"/>
                <c:pt idx="0">
                  <c:v>276</c:v>
                </c:pt>
                <c:pt idx="1">
                  <c:v>389</c:v>
                </c:pt>
                <c:pt idx="2">
                  <c:v>335</c:v>
                </c:pt>
              </c:numCache>
            </c:numRef>
          </c:val>
          <c:extLst>
            <c:ext xmlns:c16="http://schemas.microsoft.com/office/drawing/2014/chart" uri="{C3380CC4-5D6E-409C-BE32-E72D297353CC}">
              <c16:uniqueId val="{00000001-9165-4917-9E76-D5A5ED2B6541}"/>
            </c:ext>
          </c:extLst>
        </c:ser>
        <c:dLbls>
          <c:dLblPos val="outEnd"/>
          <c:showLegendKey val="0"/>
          <c:showVal val="1"/>
          <c:showCatName val="0"/>
          <c:showSerName val="0"/>
          <c:showPercent val="0"/>
          <c:showBubbleSize val="0"/>
        </c:dLbls>
        <c:gapWidth val="219"/>
        <c:overlap val="-27"/>
        <c:axId val="1908391024"/>
        <c:axId val="1908385744"/>
      </c:barChart>
      <c:catAx>
        <c:axId val="19083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908385744"/>
        <c:crosses val="autoZero"/>
        <c:auto val="1"/>
        <c:lblAlgn val="ctr"/>
        <c:lblOffset val="100"/>
        <c:noMultiLvlLbl val="0"/>
      </c:catAx>
      <c:valAx>
        <c:axId val="1908385744"/>
        <c:scaling>
          <c:orientation val="minMax"/>
        </c:scaling>
        <c:delete val="1"/>
        <c:axPos val="l"/>
        <c:numFmt formatCode="General" sourceLinked="1"/>
        <c:majorTickMark val="none"/>
        <c:minorTickMark val="none"/>
        <c:tickLblPos val="nextTo"/>
        <c:crossAx val="19083910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[Call_Center_Dashboard.xlsx]Pivot!pvt_agebysatisfaction</c:name>
    <c:fmtId val="19"/>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Satisfaction  By Age </a:t>
            </a:r>
          </a:p>
        </c:rich>
      </c:tx>
      <c:layout>
        <c:manualLayout>
          <c:xMode val="edge"/>
          <c:yMode val="edge"/>
          <c:x val="1.7429193899782137E-2"/>
          <c:y val="3.252032520325203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chemeClr val="accent1"/>
          </a:solidFill>
          <a:ln w="28575" cap="rnd">
            <a:solidFill>
              <a:srgbClr val="9F8383"/>
            </a:solidFill>
            <a:round/>
          </a:ln>
          <a:effectLst/>
        </c:spPr>
        <c:marker>
          <c:symbol val="circle"/>
          <c:size val="5"/>
          <c:spPr>
            <a:solidFill>
              <a:srgbClr val="FFF9F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F8383"/>
            </a:solidFill>
            <a:round/>
          </a:ln>
          <a:effectLst/>
        </c:spPr>
        <c:marker>
          <c:symbol val="circle"/>
          <c:size val="5"/>
          <c:spPr>
            <a:solidFill>
              <a:srgbClr val="FFF9F3"/>
            </a:solidFill>
            <a:ln w="9525">
              <a:solidFill>
                <a:schemeClr val="accent1"/>
              </a:solidFill>
            </a:ln>
            <a:effectLst/>
          </c:spPr>
        </c:marker>
      </c:pivotFmt>
      <c:pivotFmt>
        <c:idx val="2"/>
        <c:spPr>
          <a:solidFill>
            <a:schemeClr val="accent1"/>
          </a:solidFill>
          <a:ln w="28575" cap="rnd">
            <a:solidFill>
              <a:srgbClr val="9F8383"/>
            </a:solidFill>
            <a:round/>
          </a:ln>
          <a:effectLst/>
        </c:spPr>
        <c:marker>
          <c:symbol val="circle"/>
          <c:size val="5"/>
          <c:spPr>
            <a:solidFill>
              <a:srgbClr val="FFF9F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FFF9F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9F8383"/>
            </a:solidFill>
            <a:round/>
          </a:ln>
          <a:effectLst/>
        </c:spPr>
        <c:marker>
          <c:symbol val="circle"/>
          <c:size val="5"/>
          <c:spPr>
            <a:solidFill>
              <a:srgbClr val="FFF9F3"/>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Pivot!$E$69</c:f>
              <c:strCache>
                <c:ptCount val="1"/>
                <c:pt idx="0">
                  <c:v>Total</c:v>
                </c:pt>
              </c:strCache>
            </c:strRef>
          </c:tx>
          <c:spPr>
            <a:ln w="28575" cap="rnd">
              <a:solidFill>
                <a:srgbClr val="9F8383"/>
              </a:solidFill>
              <a:round/>
            </a:ln>
            <a:effectLst/>
          </c:spPr>
          <c:marker>
            <c:symbol val="circle"/>
            <c:size val="5"/>
            <c:spPr>
              <a:solidFill>
                <a:srgbClr val="FFF9F3"/>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Pivot!$D$70:$D$82</c:f>
              <c:strCache>
                <c:ptCount val="13"/>
                <c:pt idx="0">
                  <c:v>22</c:v>
                </c:pt>
                <c:pt idx="1">
                  <c:v>23</c:v>
                </c:pt>
                <c:pt idx="2">
                  <c:v>25</c:v>
                </c:pt>
                <c:pt idx="3">
                  <c:v>26</c:v>
                </c:pt>
                <c:pt idx="4">
                  <c:v>28</c:v>
                </c:pt>
                <c:pt idx="5">
                  <c:v>30</c:v>
                </c:pt>
                <c:pt idx="6">
                  <c:v>31</c:v>
                </c:pt>
                <c:pt idx="7">
                  <c:v>36</c:v>
                </c:pt>
                <c:pt idx="8">
                  <c:v>37</c:v>
                </c:pt>
                <c:pt idx="9">
                  <c:v>38</c:v>
                </c:pt>
                <c:pt idx="10">
                  <c:v>41</c:v>
                </c:pt>
                <c:pt idx="11">
                  <c:v>42</c:v>
                </c:pt>
                <c:pt idx="12">
                  <c:v>43</c:v>
                </c:pt>
              </c:strCache>
            </c:strRef>
          </c:cat>
          <c:val>
            <c:numRef>
              <c:f>Pivot!$E$70:$E$82</c:f>
              <c:numCache>
                <c:formatCode>0.0</c:formatCode>
                <c:ptCount val="13"/>
                <c:pt idx="0">
                  <c:v>3.8522388059701487</c:v>
                </c:pt>
                <c:pt idx="1">
                  <c:v>3.7774193548387092</c:v>
                </c:pt>
                <c:pt idx="2">
                  <c:v>3.62608695652174</c:v>
                </c:pt>
                <c:pt idx="3">
                  <c:v>4.0179999999999998</c:v>
                </c:pt>
                <c:pt idx="4">
                  <c:v>4.1300000000000008</c:v>
                </c:pt>
                <c:pt idx="5">
                  <c:v>3.9246575342465753</c:v>
                </c:pt>
                <c:pt idx="6">
                  <c:v>4.0730158730158736</c:v>
                </c:pt>
                <c:pt idx="7">
                  <c:v>3.976829268292684</c:v>
                </c:pt>
                <c:pt idx="8">
                  <c:v>3.8844594594594568</c:v>
                </c:pt>
                <c:pt idx="9">
                  <c:v>3.609999999999999</c:v>
                </c:pt>
                <c:pt idx="10">
                  <c:v>3.8307692307692309</c:v>
                </c:pt>
                <c:pt idx="11">
                  <c:v>3.901694915254236</c:v>
                </c:pt>
                <c:pt idx="12">
                  <c:v>3.8389830508474563</c:v>
                </c:pt>
              </c:numCache>
            </c:numRef>
          </c:val>
          <c:smooth val="1"/>
          <c:extLst>
            <c:ext xmlns:c16="http://schemas.microsoft.com/office/drawing/2014/chart" uri="{C3380CC4-5D6E-409C-BE32-E72D297353CC}">
              <c16:uniqueId val="{00000000-CCB6-4E98-B604-169695BB39AF}"/>
            </c:ext>
          </c:extLst>
        </c:ser>
        <c:dLbls>
          <c:dLblPos val="t"/>
          <c:showLegendKey val="0"/>
          <c:showVal val="1"/>
          <c:showCatName val="0"/>
          <c:showSerName val="0"/>
          <c:showPercent val="0"/>
          <c:showBubbleSize val="0"/>
        </c:dLbls>
        <c:marker val="1"/>
        <c:smooth val="0"/>
        <c:axId val="1113807696"/>
        <c:axId val="1113805776"/>
      </c:lineChart>
      <c:catAx>
        <c:axId val="11138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113805776"/>
        <c:crosses val="autoZero"/>
        <c:auto val="1"/>
        <c:lblAlgn val="ctr"/>
        <c:lblOffset val="100"/>
        <c:noMultiLvlLbl val="0"/>
      </c:catAx>
      <c:valAx>
        <c:axId val="1113805776"/>
        <c:scaling>
          <c:orientation val="minMax"/>
        </c:scaling>
        <c:delete val="1"/>
        <c:axPos val="l"/>
        <c:numFmt formatCode="0.0" sourceLinked="1"/>
        <c:majorTickMark val="none"/>
        <c:minorTickMark val="none"/>
        <c:tickLblPos val="nextTo"/>
        <c:crossAx val="11138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[Call_Center_Dashboard.xlsx]Pivot!pvt_top5customers</c:name>
    <c:fmtId val="23"/>
  </c:pivotSource>
  <c:chart>
    <c:title>
      <c:tx>
        <c:rich>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r>
              <a:rPr lang="en-US"/>
              <a:t>Top 5 Frequent Customers </a:t>
            </a:r>
          </a:p>
        </c:rich>
      </c:tx>
      <c:layout>
        <c:manualLayout>
          <c:xMode val="edge"/>
          <c:yMode val="edge"/>
          <c:x val="3.5714285714285712E-2"/>
          <c:y val="3.238866396761133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9F3"/>
              </a:solidFill>
              <a:latin typeface="Dubai"/>
              <a:ea typeface="Dubai"/>
              <a:cs typeface="Dubai"/>
            </a:defRPr>
          </a:pPr>
          <a:endParaRPr lang="en-US"/>
        </a:p>
      </c:txPr>
    </c:title>
    <c:autoTitleDeleted val="0"/>
    <c:pivotFmts>
      <c:pivotFmt>
        <c:idx val="0"/>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9F3"/>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F83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9F3"/>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F8383"/>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Pivot!$E$86</c:f>
              <c:strCache>
                <c:ptCount val="1"/>
                <c:pt idx="0">
                  <c:v>Total</c:v>
                </c:pt>
              </c:strCache>
            </c:strRef>
          </c:tx>
          <c:spPr>
            <a:solidFill>
              <a:srgbClr val="9F838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F9F3"/>
                    </a:solidFill>
                    <a:latin typeface="Dubai"/>
                    <a:ea typeface="Dubai"/>
                    <a:cs typeface="Duba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Pivot!$D$87:$D$91</c:f>
              <c:strCache>
                <c:ptCount val="5"/>
                <c:pt idx="0">
                  <c:v>C0004</c:v>
                </c:pt>
                <c:pt idx="1">
                  <c:v>C0005</c:v>
                </c:pt>
                <c:pt idx="2">
                  <c:v>C0011</c:v>
                </c:pt>
                <c:pt idx="3">
                  <c:v>C0010</c:v>
                </c:pt>
                <c:pt idx="4">
                  <c:v>C0012</c:v>
                </c:pt>
              </c:strCache>
            </c:strRef>
          </c:cat>
          <c:val>
            <c:numRef>
              <c:f>Pivot!$E$87:$E$91</c:f>
              <c:numCache>
                <c:formatCode>0</c:formatCode>
                <c:ptCount val="5"/>
                <c:pt idx="0">
                  <c:v>82</c:v>
                </c:pt>
                <c:pt idx="1">
                  <c:v>79</c:v>
                </c:pt>
                <c:pt idx="2">
                  <c:v>74</c:v>
                </c:pt>
                <c:pt idx="3">
                  <c:v>72</c:v>
                </c:pt>
                <c:pt idx="4">
                  <c:v>70</c:v>
                </c:pt>
              </c:numCache>
            </c:numRef>
          </c:val>
          <c:extLst>
            <c:ext xmlns:c16="http://schemas.microsoft.com/office/drawing/2014/chart" uri="{C3380CC4-5D6E-409C-BE32-E72D297353CC}">
              <c16:uniqueId val="{00000000-9BD2-49C8-B867-7325CBF2785A}"/>
            </c:ext>
          </c:extLst>
        </c:ser>
        <c:dLbls>
          <c:dLblPos val="outEnd"/>
          <c:showLegendKey val="0"/>
          <c:showVal val="1"/>
          <c:showCatName val="0"/>
          <c:showSerName val="0"/>
          <c:showPercent val="0"/>
          <c:showBubbleSize val="0"/>
        </c:dLbls>
        <c:gapWidth val="219"/>
        <c:overlap val="-27"/>
        <c:axId val="1111535824"/>
        <c:axId val="1111536784"/>
      </c:barChart>
      <c:catAx>
        <c:axId val="11115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9F3"/>
                </a:solidFill>
                <a:latin typeface="Dubai"/>
                <a:ea typeface="Dubai"/>
                <a:cs typeface="Dubai"/>
              </a:defRPr>
            </a:pPr>
            <a:endParaRPr lang="en-US"/>
          </a:p>
        </c:txPr>
        <c:crossAx val="1111536784"/>
        <c:crosses val="autoZero"/>
        <c:auto val="1"/>
        <c:lblAlgn val="ctr"/>
        <c:lblOffset val="100"/>
        <c:noMultiLvlLbl val="0"/>
      </c:catAx>
      <c:valAx>
        <c:axId val="1111536784"/>
        <c:scaling>
          <c:orientation val="minMax"/>
        </c:scaling>
        <c:delete val="1"/>
        <c:axPos val="l"/>
        <c:numFmt formatCode="0" sourceLinked="1"/>
        <c:majorTickMark val="none"/>
        <c:minorTickMark val="none"/>
        <c:tickLblPos val="nextTo"/>
        <c:crossAx val="111153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hyperlink" Target="https://www.linkedin.com/in/moataz-khamiss-070698247/" TargetMode="External"/><Relationship Id="rId7" Type="http://schemas.openxmlformats.org/officeDocument/2006/relationships/hyperlink" Target="#Performance!A1"/><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OverView!A1"/><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hyperlink" Target="#Customer!A1"/></Relationships>
</file>

<file path=xl/drawings/_rels/drawing2.xml.rels><?xml version="1.0" encoding="UTF-8" standalone="yes"?>
<Relationships xmlns="http://schemas.openxmlformats.org/package/2006/relationships"><Relationship Id="rId8" Type="http://schemas.openxmlformats.org/officeDocument/2006/relationships/hyperlink" Target="#Customer!A1"/><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6.xml"/><Relationship Id="rId2" Type="http://schemas.openxmlformats.org/officeDocument/2006/relationships/hyperlink" Target="https://www.linkedin.com/in/moataz-khamiss-070698247/" TargetMode="External"/><Relationship Id="rId1" Type="http://schemas.openxmlformats.org/officeDocument/2006/relationships/image" Target="../media/image2.png"/><Relationship Id="rId6" Type="http://schemas.openxmlformats.org/officeDocument/2006/relationships/hyperlink" Target="#Performance!A1"/><Relationship Id="rId11" Type="http://schemas.openxmlformats.org/officeDocument/2006/relationships/chart" Target="../charts/chart5.xml"/><Relationship Id="rId5" Type="http://schemas.openxmlformats.org/officeDocument/2006/relationships/image" Target="../media/image4.png"/><Relationship Id="rId10" Type="http://schemas.openxmlformats.org/officeDocument/2006/relationships/chart" Target="../charts/chart4.xml"/><Relationship Id="rId4" Type="http://schemas.openxmlformats.org/officeDocument/2006/relationships/hyperlink" Target="#OverView!A1"/><Relationship Id="rId9" Type="http://schemas.openxmlformats.org/officeDocument/2006/relationships/image" Target="../media/image6.pn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hyperlink" Target="#Performance!A1"/><Relationship Id="rId3" Type="http://schemas.openxmlformats.org/officeDocument/2006/relationships/image" Target="../media/image3.png"/><Relationship Id="rId7" Type="http://schemas.openxmlformats.org/officeDocument/2006/relationships/hyperlink" Target="#OverView!A1"/><Relationship Id="rId12" Type="http://schemas.openxmlformats.org/officeDocument/2006/relationships/chart" Target="../charts/chart11.xml"/><Relationship Id="rId2" Type="http://schemas.openxmlformats.org/officeDocument/2006/relationships/hyperlink" Target="https://www.linkedin.com/in/moataz-khamiss-070698247/" TargetMode="External"/><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hyperlink" Target="#Customer!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556190</xdr:colOff>
      <xdr:row>50</xdr:row>
      <xdr:rowOff>10438</xdr:rowOff>
    </xdr:to>
    <xdr:sp macro="" textlink="">
      <xdr:nvSpPr>
        <xdr:cNvPr id="2" name="Rectangle 1">
          <a:extLst>
            <a:ext uri="{FF2B5EF4-FFF2-40B4-BE49-F238E27FC236}">
              <a16:creationId xmlns:a16="http://schemas.microsoft.com/office/drawing/2014/main" id="{9D9879D7-8ADF-D41E-005F-508311E73461}"/>
            </a:ext>
          </a:extLst>
        </xdr:cNvPr>
        <xdr:cNvSpPr/>
      </xdr:nvSpPr>
      <xdr:spPr>
        <a:xfrm>
          <a:off x="0" y="0"/>
          <a:ext cx="1892300" cy="9144000"/>
        </a:xfrm>
        <a:prstGeom prst="rect">
          <a:avLst/>
        </a:prstGeom>
        <a:gradFill flip="none" rotWithShape="1">
          <a:gsLst>
            <a:gs pos="100000">
              <a:srgbClr val="BDABAB">
                <a:tint val="66000"/>
                <a:satMod val="160000"/>
              </a:srgbClr>
            </a:gs>
            <a:gs pos="26000">
              <a:srgbClr val="574964"/>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131001</xdr:rowOff>
    </xdr:from>
    <xdr:to>
      <xdr:col>2</xdr:col>
      <xdr:colOff>645090</xdr:colOff>
      <xdr:row>10</xdr:row>
      <xdr:rowOff>154488</xdr:rowOff>
    </xdr:to>
    <xdr:sp macro="" textlink="">
      <xdr:nvSpPr>
        <xdr:cNvPr id="27" name="Rectangle: Rounded Corners 26">
          <a:extLst>
            <a:ext uri="{FF2B5EF4-FFF2-40B4-BE49-F238E27FC236}">
              <a16:creationId xmlns:a16="http://schemas.microsoft.com/office/drawing/2014/main" id="{6D69418F-42AA-CC81-904F-1E4AAE4350DD}"/>
            </a:ext>
          </a:extLst>
        </xdr:cNvPr>
        <xdr:cNvSpPr/>
      </xdr:nvSpPr>
      <xdr:spPr>
        <a:xfrm>
          <a:off x="0" y="1409700"/>
          <a:ext cx="1981200" cy="571500"/>
        </a:xfrm>
        <a:prstGeom prst="roundRect">
          <a:avLst/>
        </a:prstGeom>
        <a:solidFill>
          <a:srgbClr val="57496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91336</xdr:colOff>
      <xdr:row>0</xdr:row>
      <xdr:rowOff>101600</xdr:rowOff>
    </xdr:from>
    <xdr:to>
      <xdr:col>24</xdr:col>
      <xdr:colOff>19485</xdr:colOff>
      <xdr:row>5</xdr:row>
      <xdr:rowOff>1044</xdr:rowOff>
    </xdr:to>
    <xdr:sp macro="" textlink="">
      <xdr:nvSpPr>
        <xdr:cNvPr id="3" name="Rectangle: Rounded Corners 2">
          <a:extLst>
            <a:ext uri="{FF2B5EF4-FFF2-40B4-BE49-F238E27FC236}">
              <a16:creationId xmlns:a16="http://schemas.microsoft.com/office/drawing/2014/main" id="{E693FC5C-57E3-79B3-58C7-90650B2654E6}"/>
            </a:ext>
          </a:extLst>
        </xdr:cNvPr>
        <xdr:cNvSpPr/>
      </xdr:nvSpPr>
      <xdr:spPr>
        <a:xfrm>
          <a:off x="2095500" y="101600"/>
          <a:ext cx="13957300" cy="812800"/>
        </a:xfrm>
        <a:prstGeom prst="roundRect">
          <a:avLst>
            <a:gd name="adj" fmla="val 27462"/>
          </a:avLst>
        </a:prstGeom>
        <a:gradFill flip="none" rotWithShape="1">
          <a:gsLst>
            <a:gs pos="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F9F3"/>
              </a:solidFill>
              <a:latin typeface="Dubai" panose="020B0503030403030204" pitchFamily="34" charset="-78"/>
              <a:cs typeface="Dubai" panose="020B0503030403030204" pitchFamily="34" charset="-78"/>
            </a:rPr>
            <a:t>Call Centre Dashboard</a:t>
          </a:r>
        </a:p>
      </xdr:txBody>
    </xdr:sp>
    <xdr:clientData/>
  </xdr:twoCellAnchor>
  <xdr:twoCellAnchor>
    <xdr:from>
      <xdr:col>3</xdr:col>
      <xdr:colOff>91336</xdr:colOff>
      <xdr:row>5</xdr:row>
      <xdr:rowOff>178844</xdr:rowOff>
    </xdr:from>
    <xdr:to>
      <xdr:col>7</xdr:col>
      <xdr:colOff>225816</xdr:colOff>
      <xdr:row>11</xdr:row>
      <xdr:rowOff>136916</xdr:rowOff>
    </xdr:to>
    <xdr:sp macro="" textlink="">
      <xdr:nvSpPr>
        <xdr:cNvPr id="4" name="Rectangle: Rounded Corners 3">
          <a:extLst>
            <a:ext uri="{FF2B5EF4-FFF2-40B4-BE49-F238E27FC236}">
              <a16:creationId xmlns:a16="http://schemas.microsoft.com/office/drawing/2014/main" id="{52BD31D0-75B4-797A-2D36-28A6252C21D7}"/>
            </a:ext>
          </a:extLst>
        </xdr:cNvPr>
        <xdr:cNvSpPr/>
      </xdr:nvSpPr>
      <xdr:spPr>
        <a:xfrm>
          <a:off x="2095500" y="1092200"/>
          <a:ext cx="2806700" cy="1054100"/>
        </a:xfrm>
        <a:prstGeom prst="roundRect">
          <a:avLst>
            <a:gd name="adj" fmla="val 10751"/>
          </a:avLst>
        </a:prstGeom>
        <a:gradFill flip="none" rotWithShape="1">
          <a:gsLst>
            <a:gs pos="100000">
              <a:srgbClr val="958B9B"/>
            </a:gs>
            <a:gs pos="10000">
              <a:srgbClr val="574964"/>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a:solidFill>
                <a:srgbClr val="FFF9F3"/>
              </a:solidFill>
              <a:latin typeface="Dubai" panose="020B0503030403030204" pitchFamily="34" charset="-78"/>
              <a:cs typeface="Dubai" panose="020B0503030403030204" pitchFamily="34" charset="-78"/>
            </a:rPr>
            <a:t>Tota</a:t>
          </a:r>
          <a:r>
            <a:rPr lang="en-US" sz="2200" baseline="0">
              <a:solidFill>
                <a:srgbClr val="FFF9F3"/>
              </a:solidFill>
              <a:latin typeface="Dubai" panose="020B0503030403030204" pitchFamily="34" charset="-78"/>
              <a:cs typeface="Dubai" panose="020B0503030403030204" pitchFamily="34" charset="-78"/>
            </a:rPr>
            <a:t>l Calls</a:t>
          </a:r>
          <a:endParaRPr lang="en-US" sz="2200">
            <a:solidFill>
              <a:srgbClr val="FFF9F3"/>
            </a:solidFill>
            <a:latin typeface="Dubai" panose="020B0503030403030204" pitchFamily="34" charset="-78"/>
            <a:cs typeface="Dubai" panose="020B0503030403030204" pitchFamily="34" charset="-78"/>
          </a:endParaRPr>
        </a:p>
      </xdr:txBody>
    </xdr:sp>
    <xdr:clientData/>
  </xdr:twoCellAnchor>
  <xdr:twoCellAnchor>
    <xdr:from>
      <xdr:col>3</xdr:col>
      <xdr:colOff>91336</xdr:colOff>
      <xdr:row>12</xdr:row>
      <xdr:rowOff>132045</xdr:rowOff>
    </xdr:from>
    <xdr:to>
      <xdr:col>11</xdr:col>
      <xdr:colOff>538097</xdr:colOff>
      <xdr:row>30</xdr:row>
      <xdr:rowOff>69763</xdr:rowOff>
    </xdr:to>
    <xdr:sp macro="" textlink="">
      <xdr:nvSpPr>
        <xdr:cNvPr id="11" name="Rectangle: Rounded Corners 10">
          <a:extLst>
            <a:ext uri="{FF2B5EF4-FFF2-40B4-BE49-F238E27FC236}">
              <a16:creationId xmlns:a16="http://schemas.microsoft.com/office/drawing/2014/main" id="{A3C5166F-D4D8-21F4-C548-CAC40B53B453}"/>
            </a:ext>
          </a:extLst>
        </xdr:cNvPr>
        <xdr:cNvSpPr/>
      </xdr:nvSpPr>
      <xdr:spPr>
        <a:xfrm>
          <a:off x="2095500" y="2324100"/>
          <a:ext cx="5791200" cy="32258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47842</xdr:colOff>
      <xdr:row>12</xdr:row>
      <xdr:rowOff>132045</xdr:rowOff>
    </xdr:from>
    <xdr:to>
      <xdr:col>20</xdr:col>
      <xdr:colOff>494604</xdr:colOff>
      <xdr:row>30</xdr:row>
      <xdr:rowOff>69763</xdr:rowOff>
    </xdr:to>
    <xdr:sp macro="" textlink="">
      <xdr:nvSpPr>
        <xdr:cNvPr id="13" name="Rectangle: Rounded Corners 12">
          <a:extLst>
            <a:ext uri="{FF2B5EF4-FFF2-40B4-BE49-F238E27FC236}">
              <a16:creationId xmlns:a16="http://schemas.microsoft.com/office/drawing/2014/main" id="{DA8F09AE-7217-8FA4-CB35-C0C11675A9A6}"/>
            </a:ext>
          </a:extLst>
        </xdr:cNvPr>
        <xdr:cNvSpPr/>
      </xdr:nvSpPr>
      <xdr:spPr>
        <a:xfrm>
          <a:off x="8064500" y="2324100"/>
          <a:ext cx="5791200" cy="32258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158576</xdr:colOff>
      <xdr:row>9</xdr:row>
      <xdr:rowOff>45059</xdr:rowOff>
    </xdr:from>
    <xdr:to>
      <xdr:col>6</xdr:col>
      <xdr:colOff>158575</xdr:colOff>
      <xdr:row>10</xdr:row>
      <xdr:rowOff>152082</xdr:rowOff>
    </xdr:to>
    <xdr:sp macro="" textlink="Total_Calls">
      <xdr:nvSpPr>
        <xdr:cNvPr id="14" name="TextBox 13">
          <a:extLst>
            <a:ext uri="{FF2B5EF4-FFF2-40B4-BE49-F238E27FC236}">
              <a16:creationId xmlns:a16="http://schemas.microsoft.com/office/drawing/2014/main" id="{E600E5A6-485F-B217-267D-B39EDF82EFDC}"/>
            </a:ext>
          </a:extLst>
        </xdr:cNvPr>
        <xdr:cNvSpPr txBox="1"/>
      </xdr:nvSpPr>
      <xdr:spPr>
        <a:xfrm>
          <a:off x="2830795" y="1689100"/>
          <a:ext cx="1336109" cy="2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tx2">
                  <a:lumMod val="75000"/>
                </a:schemeClr>
              </a:solidFill>
              <a:latin typeface="Aptos"/>
            </a:rPr>
            <a:t> </a:t>
          </a:r>
          <a:fld id="{8EBE8E2D-45C6-423B-8AEB-73410B5B9F6B}" type="TxLink">
            <a:rPr lang="en-US" sz="2000" b="0" i="0" u="none" strike="noStrike">
              <a:solidFill>
                <a:srgbClr val="FFF9F3"/>
              </a:solidFill>
              <a:latin typeface="Dubai" panose="020B0503030403030204" pitchFamily="34" charset="-78"/>
              <a:cs typeface="Dubai" panose="020B0503030403030204" pitchFamily="34" charset="-78"/>
            </a:rPr>
            <a:pPr algn="ctr"/>
            <a:t>1000</a:t>
          </a:fld>
          <a:endParaRPr lang="en-US" sz="1100">
            <a:solidFill>
              <a:srgbClr val="FFF9F3"/>
            </a:solidFill>
            <a:latin typeface="Dubai" panose="020B0503030403030204" pitchFamily="34" charset="-78"/>
            <a:cs typeface="Dubai" panose="020B0503030403030204" pitchFamily="34" charset="-78"/>
          </a:endParaRPr>
        </a:p>
      </xdr:txBody>
    </xdr:sp>
    <xdr:clientData/>
  </xdr:twoCellAnchor>
  <xdr:twoCellAnchor>
    <xdr:from>
      <xdr:col>7</xdr:col>
      <xdr:colOff>403616</xdr:colOff>
      <xdr:row>5</xdr:row>
      <xdr:rowOff>178844</xdr:rowOff>
    </xdr:from>
    <xdr:to>
      <xdr:col>11</xdr:col>
      <xdr:colOff>538097</xdr:colOff>
      <xdr:row>11</xdr:row>
      <xdr:rowOff>136916</xdr:rowOff>
    </xdr:to>
    <xdr:sp macro="" textlink="">
      <xdr:nvSpPr>
        <xdr:cNvPr id="15" name="Rectangle: Rounded Corners 14">
          <a:extLst>
            <a:ext uri="{FF2B5EF4-FFF2-40B4-BE49-F238E27FC236}">
              <a16:creationId xmlns:a16="http://schemas.microsoft.com/office/drawing/2014/main" id="{1BE02F17-D639-4CD2-6216-518C607164A9}"/>
            </a:ext>
          </a:extLst>
        </xdr:cNvPr>
        <xdr:cNvSpPr/>
      </xdr:nvSpPr>
      <xdr:spPr>
        <a:xfrm>
          <a:off x="5080000" y="1092200"/>
          <a:ext cx="2806700" cy="10541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000"/>
            <a:t>Avg</a:t>
          </a:r>
          <a:r>
            <a:rPr lang="en-US" sz="2000" baseline="0"/>
            <a:t> Duration</a:t>
          </a:r>
          <a:endParaRPr lang="en-US" sz="4000"/>
        </a:p>
      </xdr:txBody>
    </xdr:sp>
    <xdr:clientData/>
  </xdr:twoCellAnchor>
  <xdr:twoCellAnchor>
    <xdr:from>
      <xdr:col>12</xdr:col>
      <xdr:colOff>47842</xdr:colOff>
      <xdr:row>5</xdr:row>
      <xdr:rowOff>178844</xdr:rowOff>
    </xdr:from>
    <xdr:to>
      <xdr:col>16</xdr:col>
      <xdr:colOff>182323</xdr:colOff>
      <xdr:row>11</xdr:row>
      <xdr:rowOff>136916</xdr:rowOff>
    </xdr:to>
    <xdr:sp macro="" textlink="">
      <xdr:nvSpPr>
        <xdr:cNvPr id="16" name="Rectangle: Rounded Corners 15">
          <a:extLst>
            <a:ext uri="{FF2B5EF4-FFF2-40B4-BE49-F238E27FC236}">
              <a16:creationId xmlns:a16="http://schemas.microsoft.com/office/drawing/2014/main" id="{5977CC9A-0C97-1D49-C599-7BDB8FEF329F}"/>
            </a:ext>
          </a:extLst>
        </xdr:cNvPr>
        <xdr:cNvSpPr/>
      </xdr:nvSpPr>
      <xdr:spPr>
        <a:xfrm>
          <a:off x="8064500" y="1092200"/>
          <a:ext cx="2806700" cy="10541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Avg Satisfaction</a:t>
          </a:r>
        </a:p>
      </xdr:txBody>
    </xdr:sp>
    <xdr:clientData/>
  </xdr:twoCellAnchor>
  <xdr:twoCellAnchor>
    <xdr:from>
      <xdr:col>16</xdr:col>
      <xdr:colOff>360123</xdr:colOff>
      <xdr:row>5</xdr:row>
      <xdr:rowOff>178844</xdr:rowOff>
    </xdr:from>
    <xdr:to>
      <xdr:col>20</xdr:col>
      <xdr:colOff>494604</xdr:colOff>
      <xdr:row>11</xdr:row>
      <xdr:rowOff>136916</xdr:rowOff>
    </xdr:to>
    <xdr:sp macro="" textlink="">
      <xdr:nvSpPr>
        <xdr:cNvPr id="17" name="Rectangle: Rounded Corners 16">
          <a:extLst>
            <a:ext uri="{FF2B5EF4-FFF2-40B4-BE49-F238E27FC236}">
              <a16:creationId xmlns:a16="http://schemas.microsoft.com/office/drawing/2014/main" id="{BD117DB8-D371-A84E-CE95-9BBEEC09B11E}"/>
            </a:ext>
          </a:extLst>
        </xdr:cNvPr>
        <xdr:cNvSpPr/>
      </xdr:nvSpPr>
      <xdr:spPr>
        <a:xfrm>
          <a:off x="11049000" y="1092200"/>
          <a:ext cx="2806700" cy="1054100"/>
        </a:xfrm>
        <a:prstGeom prst="roundRect">
          <a:avLst>
            <a:gd name="adj" fmla="val 10751"/>
          </a:avLst>
        </a:prstGeom>
        <a:gradFill flip="none" rotWithShape="1">
          <a:gsLst>
            <a:gs pos="100000">
              <a:srgbClr val="A096A5"/>
            </a:gs>
            <a:gs pos="10000">
              <a:srgbClr val="574964"/>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Total Purchase</a:t>
          </a:r>
        </a:p>
      </xdr:txBody>
    </xdr:sp>
    <xdr:clientData/>
  </xdr:twoCellAnchor>
  <xdr:twoCellAnchor>
    <xdr:from>
      <xdr:col>8</xdr:col>
      <xdr:colOff>470857</xdr:colOff>
      <xdr:row>9</xdr:row>
      <xdr:rowOff>45059</xdr:rowOff>
    </xdr:from>
    <xdr:to>
      <xdr:col>10</xdr:col>
      <xdr:colOff>470856</xdr:colOff>
      <xdr:row>10</xdr:row>
      <xdr:rowOff>152082</xdr:rowOff>
    </xdr:to>
    <xdr:sp macro="" textlink="Average_duration">
      <xdr:nvSpPr>
        <xdr:cNvPr id="18" name="TextBox 17">
          <a:extLst>
            <a:ext uri="{FF2B5EF4-FFF2-40B4-BE49-F238E27FC236}">
              <a16:creationId xmlns:a16="http://schemas.microsoft.com/office/drawing/2014/main" id="{77EE6140-32D4-E57A-EE7D-0CD4B1C86B14}"/>
            </a:ext>
          </a:extLst>
        </xdr:cNvPr>
        <xdr:cNvSpPr txBox="1"/>
      </xdr:nvSpPr>
      <xdr:spPr>
        <a:xfrm>
          <a:off x="5815295" y="1689100"/>
          <a:ext cx="1336109" cy="2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C5BC90-914E-4834-A7C2-1CED04C8A1D7}" type="TxLink">
            <a:rPr lang="en-US" sz="2000" b="0" i="0" u="none" strike="noStrike">
              <a:solidFill>
                <a:srgbClr val="FFF9F3"/>
              </a:solidFill>
              <a:latin typeface="Aptos"/>
            </a:rPr>
            <a:pPr algn="ctr"/>
            <a:t>90</a:t>
          </a:fld>
          <a:endParaRPr lang="en-US" sz="1100">
            <a:solidFill>
              <a:srgbClr val="FFF9F3"/>
            </a:solidFill>
          </a:endParaRPr>
        </a:p>
      </xdr:txBody>
    </xdr:sp>
    <xdr:clientData/>
  </xdr:twoCellAnchor>
  <xdr:twoCellAnchor>
    <xdr:from>
      <xdr:col>13</xdr:col>
      <xdr:colOff>115082</xdr:colOff>
      <xdr:row>9</xdr:row>
      <xdr:rowOff>45059</xdr:rowOff>
    </xdr:from>
    <xdr:to>
      <xdr:col>15</xdr:col>
      <xdr:colOff>115082</xdr:colOff>
      <xdr:row>10</xdr:row>
      <xdr:rowOff>152082</xdr:rowOff>
    </xdr:to>
    <xdr:sp macro="" textlink="Average_satsfication">
      <xdr:nvSpPr>
        <xdr:cNvPr id="19" name="TextBox 18">
          <a:extLst>
            <a:ext uri="{FF2B5EF4-FFF2-40B4-BE49-F238E27FC236}">
              <a16:creationId xmlns:a16="http://schemas.microsoft.com/office/drawing/2014/main" id="{218FDC91-AB3B-25A4-EEFB-4EF55BD3A520}"/>
            </a:ext>
          </a:extLst>
        </xdr:cNvPr>
        <xdr:cNvSpPr txBox="1"/>
      </xdr:nvSpPr>
      <xdr:spPr>
        <a:xfrm>
          <a:off x="8799794" y="1689100"/>
          <a:ext cx="1336110" cy="2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30EB79-CC24-4C34-8864-021C4F98C20C}" type="TxLink">
            <a:rPr lang="en-US" sz="2000" b="0" i="0" u="none" strike="noStrike">
              <a:solidFill>
                <a:srgbClr val="FFF9F3"/>
              </a:solidFill>
              <a:latin typeface="Aptos"/>
            </a:rPr>
            <a:pPr algn="ctr"/>
            <a:t>3.9</a:t>
          </a:fld>
          <a:endParaRPr lang="en-US" sz="1100">
            <a:solidFill>
              <a:srgbClr val="FFF9F3"/>
            </a:solidFill>
          </a:endParaRPr>
        </a:p>
      </xdr:txBody>
    </xdr:sp>
    <xdr:clientData/>
  </xdr:twoCellAnchor>
  <xdr:twoCellAnchor>
    <xdr:from>
      <xdr:col>17</xdr:col>
      <xdr:colOff>427362</xdr:colOff>
      <xdr:row>9</xdr:row>
      <xdr:rowOff>45059</xdr:rowOff>
    </xdr:from>
    <xdr:to>
      <xdr:col>19</xdr:col>
      <xdr:colOff>427363</xdr:colOff>
      <xdr:row>10</xdr:row>
      <xdr:rowOff>152082</xdr:rowOff>
    </xdr:to>
    <xdr:sp macro="" textlink="Total_Purchase_Amount">
      <xdr:nvSpPr>
        <xdr:cNvPr id="20" name="TextBox 19">
          <a:extLst>
            <a:ext uri="{FF2B5EF4-FFF2-40B4-BE49-F238E27FC236}">
              <a16:creationId xmlns:a16="http://schemas.microsoft.com/office/drawing/2014/main" id="{C096FA84-BC4E-ED38-443B-4EFACE94DDE2}"/>
            </a:ext>
          </a:extLst>
        </xdr:cNvPr>
        <xdr:cNvSpPr txBox="1"/>
      </xdr:nvSpPr>
      <xdr:spPr>
        <a:xfrm>
          <a:off x="11784294" y="1689100"/>
          <a:ext cx="1336110" cy="28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E41281-6CEE-4361-B20C-B6ACEF92C35D}" type="TxLink">
            <a:rPr lang="en-US" sz="2000" b="0" i="0" u="none" strike="noStrike">
              <a:solidFill>
                <a:srgbClr val="FFF9F3"/>
              </a:solidFill>
              <a:latin typeface="Aptos"/>
            </a:rPr>
            <a:pPr algn="ctr"/>
            <a:t>96623</a:t>
          </a:fld>
          <a:endParaRPr lang="en-US" sz="1100">
            <a:solidFill>
              <a:srgbClr val="FFF9F3"/>
            </a:solidFill>
          </a:endParaRPr>
        </a:p>
      </xdr:txBody>
    </xdr:sp>
    <xdr:clientData/>
  </xdr:twoCellAnchor>
  <xdr:twoCellAnchor editAs="oneCell">
    <xdr:from>
      <xdr:col>9</xdr:col>
      <xdr:colOff>540707</xdr:colOff>
      <xdr:row>1</xdr:row>
      <xdr:rowOff>45929</xdr:rowOff>
    </xdr:from>
    <xdr:to>
      <xdr:col>10</xdr:col>
      <xdr:colOff>430478</xdr:colOff>
      <xdr:row>4</xdr:row>
      <xdr:rowOff>55565</xdr:rowOff>
    </xdr:to>
    <xdr:pic>
      <xdr:nvPicPr>
        <xdr:cNvPr id="22" name="Picture 21">
          <a:extLst>
            <a:ext uri="{FF2B5EF4-FFF2-40B4-BE49-F238E27FC236}">
              <a16:creationId xmlns:a16="http://schemas.microsoft.com/office/drawing/2014/main" id="{DD2E2F34-95EA-82A0-A6E6-799F20DA0640}"/>
            </a:ext>
          </a:extLst>
        </xdr:cNvPr>
        <xdr:cNvPicPr>
          <a:picLocks noChangeAspect="1"/>
        </xdr:cNvPicPr>
      </xdr:nvPicPr>
      <xdr:blipFill>
        <a:blip xmlns:r="http://schemas.openxmlformats.org/officeDocument/2006/relationships" r:embed="rId1"/>
        <a:stretch>
          <a:fillRect/>
        </a:stretch>
      </xdr:blipFill>
      <xdr:spPr>
        <a:xfrm>
          <a:off x="6553200" y="228600"/>
          <a:ext cx="557826" cy="557650"/>
        </a:xfrm>
        <a:prstGeom prst="rect">
          <a:avLst/>
        </a:prstGeom>
      </xdr:spPr>
    </xdr:pic>
    <xdr:clientData/>
  </xdr:twoCellAnchor>
  <xdr:twoCellAnchor editAs="oneCell">
    <xdr:from>
      <xdr:col>0</xdr:col>
      <xdr:colOff>80995</xdr:colOff>
      <xdr:row>0</xdr:row>
      <xdr:rowOff>46652</xdr:rowOff>
    </xdr:from>
    <xdr:to>
      <xdr:col>0</xdr:col>
      <xdr:colOff>539052</xdr:colOff>
      <xdr:row>2</xdr:row>
      <xdr:rowOff>136552</xdr:rowOff>
    </xdr:to>
    <xdr:pic>
      <xdr:nvPicPr>
        <xdr:cNvPr id="23" name="Picture 22">
          <a:extLst>
            <a:ext uri="{FF2B5EF4-FFF2-40B4-BE49-F238E27FC236}">
              <a16:creationId xmlns:a16="http://schemas.microsoft.com/office/drawing/2014/main" id="{6FB994E1-D70D-23EE-68B6-6D5197F9D66F}"/>
            </a:ext>
          </a:extLst>
        </xdr:cNvPr>
        <xdr:cNvPicPr>
          <a:picLocks noChangeAspect="1"/>
        </xdr:cNvPicPr>
      </xdr:nvPicPr>
      <xdr:blipFill>
        <a:blip xmlns:r="http://schemas.openxmlformats.org/officeDocument/2006/relationships" r:embed="rId2"/>
        <a:stretch>
          <a:fillRect/>
        </a:stretch>
      </xdr:blipFill>
      <xdr:spPr>
        <a:xfrm>
          <a:off x="80995" y="46652"/>
          <a:ext cx="458057" cy="453582"/>
        </a:xfrm>
        <a:prstGeom prst="rect">
          <a:avLst/>
        </a:prstGeom>
      </xdr:spPr>
    </xdr:pic>
    <xdr:clientData/>
  </xdr:twoCellAnchor>
  <xdr:twoCellAnchor editAs="oneCell">
    <xdr:from>
      <xdr:col>1</xdr:col>
      <xdr:colOff>55845</xdr:colOff>
      <xdr:row>45</xdr:row>
      <xdr:rowOff>98295</xdr:rowOff>
    </xdr:from>
    <xdr:to>
      <xdr:col>1</xdr:col>
      <xdr:colOff>501788</xdr:colOff>
      <xdr:row>47</xdr:row>
      <xdr:rowOff>179961</xdr:rowOff>
    </xdr:to>
    <xdr:pic>
      <xdr:nvPicPr>
        <xdr:cNvPr id="28" name="Picture 27">
          <a:hlinkClick xmlns:r="http://schemas.openxmlformats.org/officeDocument/2006/relationships" r:id="rId3"/>
          <a:extLst>
            <a:ext uri="{FF2B5EF4-FFF2-40B4-BE49-F238E27FC236}">
              <a16:creationId xmlns:a16="http://schemas.microsoft.com/office/drawing/2014/main" id="{CE6925D3-A994-CAE4-6342-F0A3EC9C5CDF}"/>
            </a:ext>
          </a:extLst>
        </xdr:cNvPr>
        <xdr:cNvPicPr>
          <a:picLocks noChangeAspect="1"/>
        </xdr:cNvPicPr>
      </xdr:nvPicPr>
      <xdr:blipFill>
        <a:blip xmlns:r="http://schemas.openxmlformats.org/officeDocument/2006/relationships" r:embed="rId4"/>
        <a:stretch>
          <a:fillRect/>
        </a:stretch>
      </xdr:blipFill>
      <xdr:spPr>
        <a:xfrm>
          <a:off x="723900" y="8318500"/>
          <a:ext cx="445943" cy="447009"/>
        </a:xfrm>
        <a:prstGeom prst="rect">
          <a:avLst/>
        </a:prstGeom>
      </xdr:spPr>
    </xdr:pic>
    <xdr:clientData/>
  </xdr:twoCellAnchor>
  <xdr:twoCellAnchor>
    <xdr:from>
      <xdr:col>0</xdr:col>
      <xdr:colOff>177800</xdr:colOff>
      <xdr:row>7</xdr:row>
      <xdr:rowOff>169101</xdr:rowOff>
    </xdr:from>
    <xdr:to>
      <xdr:col>2</xdr:col>
      <xdr:colOff>596659</xdr:colOff>
      <xdr:row>10</xdr:row>
      <xdr:rowOff>112817</xdr:rowOff>
    </xdr:to>
    <xdr:grpSp>
      <xdr:nvGrpSpPr>
        <xdr:cNvPr id="32" name="Group 31">
          <a:extLst>
            <a:ext uri="{FF2B5EF4-FFF2-40B4-BE49-F238E27FC236}">
              <a16:creationId xmlns:a16="http://schemas.microsoft.com/office/drawing/2014/main" id="{5A08C7B2-8C4D-2B7D-28BF-BA5ABA9C5B6F}"/>
            </a:ext>
          </a:extLst>
        </xdr:cNvPr>
        <xdr:cNvGrpSpPr/>
      </xdr:nvGrpSpPr>
      <xdr:grpSpPr>
        <a:xfrm>
          <a:off x="177800" y="1464501"/>
          <a:ext cx="1757802" cy="498887"/>
          <a:chOff x="178618" y="1456043"/>
          <a:chExt cx="1759593" cy="493513"/>
        </a:xfrm>
      </xdr:grpSpPr>
      <xdr:sp macro="" textlink="">
        <xdr:nvSpPr>
          <xdr:cNvPr id="24" name="TextBox 23">
            <a:hlinkClick xmlns:r="http://schemas.openxmlformats.org/officeDocument/2006/relationships" r:id="rId5"/>
            <a:extLst>
              <a:ext uri="{FF2B5EF4-FFF2-40B4-BE49-F238E27FC236}">
                <a16:creationId xmlns:a16="http://schemas.microsoft.com/office/drawing/2014/main" id="{B34BF481-D9ED-276D-955E-1A54610BF09A}"/>
              </a:ext>
            </a:extLst>
          </xdr:cNvPr>
          <xdr:cNvSpPr txBox="1"/>
        </xdr:nvSpPr>
        <xdr:spPr>
          <a:xfrm>
            <a:off x="450272" y="1456043"/>
            <a:ext cx="1487939" cy="493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Overview</a:t>
            </a:r>
          </a:p>
        </xdr:txBody>
      </xdr:sp>
      <xdr:pic>
        <xdr:nvPicPr>
          <xdr:cNvPr id="29" name="Picture 28">
            <a:extLst>
              <a:ext uri="{FF2B5EF4-FFF2-40B4-BE49-F238E27FC236}">
                <a16:creationId xmlns:a16="http://schemas.microsoft.com/office/drawing/2014/main" id="{BC15B6E6-5FE4-00E7-624A-775B507ED0A5}"/>
              </a:ext>
            </a:extLst>
          </xdr:cNvPr>
          <xdr:cNvPicPr>
            <a:picLocks noChangeAspect="1"/>
          </xdr:cNvPicPr>
        </xdr:nvPicPr>
        <xdr:blipFill>
          <a:blip xmlns:r="http://schemas.openxmlformats.org/officeDocument/2006/relationships" r:embed="rId6"/>
          <a:stretch>
            <a:fillRect/>
          </a:stretch>
        </xdr:blipFill>
        <xdr:spPr>
          <a:xfrm>
            <a:off x="178618" y="1500199"/>
            <a:ext cx="334503" cy="337352"/>
          </a:xfrm>
          <a:prstGeom prst="rect">
            <a:avLst/>
          </a:prstGeom>
        </xdr:spPr>
      </xdr:pic>
    </xdr:grpSp>
    <xdr:clientData/>
  </xdr:twoCellAnchor>
  <xdr:twoCellAnchor>
    <xdr:from>
      <xdr:col>0</xdr:col>
      <xdr:colOff>177800</xdr:colOff>
      <xdr:row>13</xdr:row>
      <xdr:rowOff>174</xdr:rowOff>
    </xdr:from>
    <xdr:to>
      <xdr:col>2</xdr:col>
      <xdr:colOff>594000</xdr:colOff>
      <xdr:row>15</xdr:row>
      <xdr:rowOff>74606</xdr:rowOff>
    </xdr:to>
    <xdr:grpSp>
      <xdr:nvGrpSpPr>
        <xdr:cNvPr id="33" name="Group 32">
          <a:extLst>
            <a:ext uri="{FF2B5EF4-FFF2-40B4-BE49-F238E27FC236}">
              <a16:creationId xmlns:a16="http://schemas.microsoft.com/office/drawing/2014/main" id="{BB342496-F9AD-7392-E45E-7FD52293DC26}"/>
            </a:ext>
          </a:extLst>
        </xdr:cNvPr>
        <xdr:cNvGrpSpPr/>
      </xdr:nvGrpSpPr>
      <xdr:grpSpPr>
        <a:xfrm>
          <a:off x="177800" y="2405917"/>
          <a:ext cx="1755143" cy="444546"/>
          <a:chOff x="181277" y="2378866"/>
          <a:chExt cx="1756934" cy="441558"/>
        </a:xfrm>
      </xdr:grpSpPr>
      <xdr:sp macro="" textlink="">
        <xdr:nvSpPr>
          <xdr:cNvPr id="25" name="TextBox 24">
            <a:hlinkClick xmlns:r="http://schemas.openxmlformats.org/officeDocument/2006/relationships" r:id="rId7"/>
            <a:extLst>
              <a:ext uri="{FF2B5EF4-FFF2-40B4-BE49-F238E27FC236}">
                <a16:creationId xmlns:a16="http://schemas.microsoft.com/office/drawing/2014/main" id="{76BDA214-8FBF-5390-A949-B5C91589B2D1}"/>
              </a:ext>
            </a:extLst>
          </xdr:cNvPr>
          <xdr:cNvSpPr txBox="1"/>
        </xdr:nvSpPr>
        <xdr:spPr>
          <a:xfrm>
            <a:off x="333375" y="2378866"/>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Performance</a:t>
            </a:r>
          </a:p>
        </xdr:txBody>
      </xdr:sp>
      <xdr:pic>
        <xdr:nvPicPr>
          <xdr:cNvPr id="30" name="Picture 29">
            <a:extLst>
              <a:ext uri="{FF2B5EF4-FFF2-40B4-BE49-F238E27FC236}">
                <a16:creationId xmlns:a16="http://schemas.microsoft.com/office/drawing/2014/main" id="{36BD2DE6-EC40-4ABD-9B95-5831BBB75574}"/>
              </a:ext>
            </a:extLst>
          </xdr:cNvPr>
          <xdr:cNvPicPr>
            <a:picLocks noChangeAspect="1"/>
          </xdr:cNvPicPr>
        </xdr:nvPicPr>
        <xdr:blipFill>
          <a:blip xmlns:r="http://schemas.openxmlformats.org/officeDocument/2006/relationships" r:embed="rId8"/>
          <a:stretch>
            <a:fillRect/>
          </a:stretch>
        </xdr:blipFill>
        <xdr:spPr>
          <a:xfrm>
            <a:off x="181277" y="2412762"/>
            <a:ext cx="329184" cy="330609"/>
          </a:xfrm>
          <a:prstGeom prst="rect">
            <a:avLst/>
          </a:prstGeom>
        </xdr:spPr>
      </xdr:pic>
    </xdr:grpSp>
    <xdr:clientData/>
  </xdr:twoCellAnchor>
  <xdr:twoCellAnchor>
    <xdr:from>
      <xdr:col>0</xdr:col>
      <xdr:colOff>177800</xdr:colOff>
      <xdr:row>17</xdr:row>
      <xdr:rowOff>133089</xdr:rowOff>
    </xdr:from>
    <xdr:to>
      <xdr:col>2</xdr:col>
      <xdr:colOff>594000</xdr:colOff>
      <xdr:row>20</xdr:row>
      <xdr:rowOff>24850</xdr:rowOff>
    </xdr:to>
    <xdr:grpSp>
      <xdr:nvGrpSpPr>
        <xdr:cNvPr id="34" name="Group 33">
          <a:extLst>
            <a:ext uri="{FF2B5EF4-FFF2-40B4-BE49-F238E27FC236}">
              <a16:creationId xmlns:a16="http://schemas.microsoft.com/office/drawing/2014/main" id="{0009B21C-B3B6-3C79-2DD6-10B977652250}"/>
            </a:ext>
          </a:extLst>
        </xdr:cNvPr>
        <xdr:cNvGrpSpPr/>
      </xdr:nvGrpSpPr>
      <xdr:grpSpPr>
        <a:xfrm>
          <a:off x="177800" y="3279060"/>
          <a:ext cx="1755143" cy="446933"/>
          <a:chOff x="181277" y="3249735"/>
          <a:chExt cx="1756934" cy="441558"/>
        </a:xfrm>
      </xdr:grpSpPr>
      <xdr:sp macro="" textlink="">
        <xdr:nvSpPr>
          <xdr:cNvPr id="26" name="TextBox 25">
            <a:hlinkClick xmlns:r="http://schemas.openxmlformats.org/officeDocument/2006/relationships" r:id="rId9"/>
            <a:extLst>
              <a:ext uri="{FF2B5EF4-FFF2-40B4-BE49-F238E27FC236}">
                <a16:creationId xmlns:a16="http://schemas.microsoft.com/office/drawing/2014/main" id="{6B59A0EE-34EC-E00D-644B-7763605587C8}"/>
              </a:ext>
            </a:extLst>
          </xdr:cNvPr>
          <xdr:cNvSpPr txBox="1"/>
        </xdr:nvSpPr>
        <xdr:spPr>
          <a:xfrm>
            <a:off x="333375" y="3249735"/>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Customer</a:t>
            </a:r>
          </a:p>
        </xdr:txBody>
      </xdr:sp>
      <xdr:pic>
        <xdr:nvPicPr>
          <xdr:cNvPr id="31" name="Picture 30">
            <a:extLst>
              <a:ext uri="{FF2B5EF4-FFF2-40B4-BE49-F238E27FC236}">
                <a16:creationId xmlns:a16="http://schemas.microsoft.com/office/drawing/2014/main" id="{97C9F74C-5179-C7BC-DABB-974B1069BCD9}"/>
              </a:ext>
            </a:extLst>
          </xdr:cNvPr>
          <xdr:cNvPicPr>
            <a:picLocks noChangeAspect="1"/>
          </xdr:cNvPicPr>
        </xdr:nvPicPr>
        <xdr:blipFill>
          <a:blip xmlns:r="http://schemas.openxmlformats.org/officeDocument/2006/relationships" r:embed="rId10"/>
          <a:stretch>
            <a:fillRect/>
          </a:stretch>
        </xdr:blipFill>
        <xdr:spPr>
          <a:xfrm>
            <a:off x="181277" y="3305210"/>
            <a:ext cx="329184" cy="330609"/>
          </a:xfrm>
          <a:prstGeom prst="rect">
            <a:avLst/>
          </a:prstGeom>
        </xdr:spPr>
      </xdr:pic>
    </xdr:grpSp>
    <xdr:clientData/>
  </xdr:twoCellAnchor>
  <xdr:twoCellAnchor>
    <xdr:from>
      <xdr:col>3</xdr:col>
      <xdr:colOff>134619</xdr:colOff>
      <xdr:row>12</xdr:row>
      <xdr:rowOff>180340</xdr:rowOff>
    </xdr:from>
    <xdr:to>
      <xdr:col>11</xdr:col>
      <xdr:colOff>459739</xdr:colOff>
      <xdr:row>30</xdr:row>
      <xdr:rowOff>12700</xdr:rowOff>
    </xdr:to>
    <xdr:graphicFrame macro="">
      <xdr:nvGraphicFramePr>
        <xdr:cNvPr id="35" name="Chart 34">
          <a:extLst>
            <a:ext uri="{FF2B5EF4-FFF2-40B4-BE49-F238E27FC236}">
              <a16:creationId xmlns:a16="http://schemas.microsoft.com/office/drawing/2014/main" id="{1CEB0C3C-E88E-4441-8530-B6091AE87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68580</xdr:colOff>
      <xdr:row>12</xdr:row>
      <xdr:rowOff>180339</xdr:rowOff>
    </xdr:from>
    <xdr:to>
      <xdr:col>20</xdr:col>
      <xdr:colOff>393700</xdr:colOff>
      <xdr:row>30</xdr:row>
      <xdr:rowOff>12699</xdr:rowOff>
    </xdr:to>
    <xdr:graphicFrame macro="">
      <xdr:nvGraphicFramePr>
        <xdr:cNvPr id="40" name="Chart 39">
          <a:extLst>
            <a:ext uri="{FF2B5EF4-FFF2-40B4-BE49-F238E27FC236}">
              <a16:creationId xmlns:a16="http://schemas.microsoft.com/office/drawing/2014/main" id="{4AE44094-E5C0-4B79-AF81-801B04E7E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91336</xdr:colOff>
      <xdr:row>31</xdr:row>
      <xdr:rowOff>64892</xdr:rowOff>
    </xdr:from>
    <xdr:to>
      <xdr:col>20</xdr:col>
      <xdr:colOff>494604</xdr:colOff>
      <xdr:row>49</xdr:row>
      <xdr:rowOff>15310</xdr:rowOff>
    </xdr:to>
    <xdr:sp macro="" textlink="">
      <xdr:nvSpPr>
        <xdr:cNvPr id="41" name="Rectangle: Rounded Corners 40">
          <a:extLst>
            <a:ext uri="{FF2B5EF4-FFF2-40B4-BE49-F238E27FC236}">
              <a16:creationId xmlns:a16="http://schemas.microsoft.com/office/drawing/2014/main" id="{17A73BD8-6941-20D0-FE54-C18F21AC4CE9}"/>
            </a:ext>
          </a:extLst>
        </xdr:cNvPr>
        <xdr:cNvSpPr/>
      </xdr:nvSpPr>
      <xdr:spPr>
        <a:xfrm>
          <a:off x="2095500" y="5727700"/>
          <a:ext cx="11760200" cy="32385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134619</xdr:colOff>
      <xdr:row>31</xdr:row>
      <xdr:rowOff>109219</xdr:rowOff>
    </xdr:from>
    <xdr:to>
      <xdr:col>20</xdr:col>
      <xdr:colOff>393699</xdr:colOff>
      <xdr:row>48</xdr:row>
      <xdr:rowOff>137159</xdr:rowOff>
    </xdr:to>
    <xdr:graphicFrame macro="">
      <xdr:nvGraphicFramePr>
        <xdr:cNvPr id="42" name="Chart 41">
          <a:extLst>
            <a:ext uri="{FF2B5EF4-FFF2-40B4-BE49-F238E27FC236}">
              <a16:creationId xmlns:a16="http://schemas.microsoft.com/office/drawing/2014/main" id="{42D20E85-EF73-4899-AF08-3271936DF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622300</xdr:colOff>
      <xdr:row>5</xdr:row>
      <xdr:rowOff>177800</xdr:rowOff>
    </xdr:from>
    <xdr:to>
      <xdr:col>23</xdr:col>
      <xdr:colOff>629920</xdr:colOff>
      <xdr:row>16</xdr:row>
      <xdr:rowOff>20320</xdr:rowOff>
    </xdr:to>
    <mc:AlternateContent xmlns:mc="http://schemas.openxmlformats.org/markup-compatibility/2006" xmlns:a14="http://schemas.microsoft.com/office/drawing/2010/main">
      <mc:Choice Requires="a14">
        <xdr:graphicFrame macro="">
          <xdr:nvGraphicFramePr>
            <xdr:cNvPr id="43" name="Representative">
              <a:extLst>
                <a:ext uri="{FF2B5EF4-FFF2-40B4-BE49-F238E27FC236}">
                  <a16:creationId xmlns:a16="http://schemas.microsoft.com/office/drawing/2014/main" id="{8ACEF53D-6797-479E-8FF8-596BFF48FFA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1810800" y="1027697"/>
              <a:ext cx="1828800" cy="1889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622300</xdr:colOff>
      <xdr:row>17</xdr:row>
      <xdr:rowOff>15240</xdr:rowOff>
    </xdr:from>
    <xdr:to>
      <xdr:col>23</xdr:col>
      <xdr:colOff>629920</xdr:colOff>
      <xdr:row>24</xdr:row>
      <xdr:rowOff>17780</xdr:rowOff>
    </xdr:to>
    <mc:AlternateContent xmlns:mc="http://schemas.openxmlformats.org/markup-compatibility/2006" xmlns:a14="http://schemas.microsoft.com/office/drawing/2010/main">
      <mc:Choice Requires="a14">
        <xdr:graphicFrame macro="">
          <xdr:nvGraphicFramePr>
            <xdr:cNvPr id="46" name="Rating rounded">
              <a:extLst>
                <a:ext uri="{FF2B5EF4-FFF2-40B4-BE49-F238E27FC236}">
                  <a16:creationId xmlns:a16="http://schemas.microsoft.com/office/drawing/2014/main" id="{3A6D5D6B-ECE9-4797-A1CB-D2EB2D46A9B0}"/>
                </a:ext>
              </a:extLst>
            </xdr:cNvPr>
            <xdr:cNvGraphicFramePr/>
          </xdr:nvGraphicFramePr>
          <xdr:xfrm>
            <a:off x="0" y="0"/>
            <a:ext cx="0" cy="0"/>
          </xdr:xfrm>
          <a:graphic>
            <a:graphicData uri="http://schemas.microsoft.com/office/drawing/2010/slicer">
              <sle:slicer xmlns:sle="http://schemas.microsoft.com/office/drawing/2010/slicer" name="Rating rounded"/>
            </a:graphicData>
          </a:graphic>
        </xdr:graphicFrame>
      </mc:Choice>
      <mc:Fallback xmlns="">
        <xdr:sp macro="" textlink="">
          <xdr:nvSpPr>
            <xdr:cNvPr id="0" name=""/>
            <xdr:cNvSpPr>
              <a:spLocks noTextEdit="1"/>
            </xdr:cNvSpPr>
          </xdr:nvSpPr>
          <xdr:spPr>
            <a:xfrm>
              <a:off x="11805986" y="3048000"/>
              <a:ext cx="1828800" cy="1268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622300</xdr:colOff>
      <xdr:row>25</xdr:row>
      <xdr:rowOff>12700</xdr:rowOff>
    </xdr:from>
    <xdr:to>
      <xdr:col>23</xdr:col>
      <xdr:colOff>629920</xdr:colOff>
      <xdr:row>34</xdr:row>
      <xdr:rowOff>43180</xdr:rowOff>
    </xdr:to>
    <mc:AlternateContent xmlns:mc="http://schemas.openxmlformats.org/markup-compatibility/2006" xmlns:tsle="http://schemas.microsoft.com/office/drawing/2012/timeslicer">
      <mc:Choice Requires="tsle">
        <xdr:graphicFrame macro="">
          <xdr:nvGraphicFramePr>
            <xdr:cNvPr id="47" name="Date of Call">
              <a:extLst>
                <a:ext uri="{FF2B5EF4-FFF2-40B4-BE49-F238E27FC236}">
                  <a16:creationId xmlns:a16="http://schemas.microsoft.com/office/drawing/2014/main" id="{CE816250-ACDF-40CF-877F-C53C480B8D81}"/>
                </a:ext>
              </a:extLst>
            </xdr:cNvPr>
            <xdr:cNvGraphicFramePr/>
          </xdr:nvGraphicFramePr>
          <xdr:xfrm>
            <a:off x="0" y="0"/>
            <a:ext cx="0" cy="0"/>
          </xdr:xfrm>
          <a:graphic>
            <a:graphicData uri="http://schemas.microsoft.com/office/drawing/2012/timeslicer">
              <tsle:timeslicer name="Date of Call"/>
            </a:graphicData>
          </a:graphic>
        </xdr:graphicFrame>
      </mc:Choice>
      <mc:Fallback xmlns="">
        <xdr:sp macro="" textlink="">
          <xdr:nvSpPr>
            <xdr:cNvPr id="0" name=""/>
            <xdr:cNvSpPr>
              <a:spLocks noTextEdit="1"/>
            </xdr:cNvSpPr>
          </xdr:nvSpPr>
          <xdr:spPr>
            <a:xfrm>
              <a:off x="11816012" y="4461708"/>
              <a:ext cx="2847475" cy="16543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81643</xdr:colOff>
      <xdr:row>35</xdr:row>
      <xdr:rowOff>177800</xdr:rowOff>
    </xdr:from>
    <xdr:to>
      <xdr:col>23</xdr:col>
      <xdr:colOff>613229</xdr:colOff>
      <xdr:row>49</xdr:row>
      <xdr:rowOff>76200</xdr:rowOff>
    </xdr:to>
    <xdr:sp macro="" textlink="">
      <xdr:nvSpPr>
        <xdr:cNvPr id="9" name="Rectangle: Rounded Corners 8">
          <a:extLst>
            <a:ext uri="{FF2B5EF4-FFF2-40B4-BE49-F238E27FC236}">
              <a16:creationId xmlns:a16="http://schemas.microsoft.com/office/drawing/2014/main" id="{01A174BC-0DCA-40B1-DBB7-B6C57E5245B4}"/>
            </a:ext>
          </a:extLst>
        </xdr:cNvPr>
        <xdr:cNvSpPr/>
      </xdr:nvSpPr>
      <xdr:spPr>
        <a:xfrm>
          <a:off x="2095500" y="6527800"/>
          <a:ext cx="13957300" cy="2438400"/>
        </a:xfrm>
        <a:prstGeom prst="roundRect">
          <a:avLst>
            <a:gd name="adj" fmla="val 6944"/>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549729</xdr:colOff>
      <xdr:row>50</xdr:row>
      <xdr:rowOff>72571</xdr:rowOff>
    </xdr:to>
    <xdr:sp macro="" textlink="">
      <xdr:nvSpPr>
        <xdr:cNvPr id="45" name="Rectangle 44">
          <a:extLst>
            <a:ext uri="{FF2B5EF4-FFF2-40B4-BE49-F238E27FC236}">
              <a16:creationId xmlns:a16="http://schemas.microsoft.com/office/drawing/2014/main" id="{EBE13979-2B31-4C2D-A1A2-5AF1A53A5078}"/>
            </a:ext>
          </a:extLst>
        </xdr:cNvPr>
        <xdr:cNvSpPr/>
      </xdr:nvSpPr>
      <xdr:spPr>
        <a:xfrm>
          <a:off x="0" y="0"/>
          <a:ext cx="1892300" cy="9144000"/>
        </a:xfrm>
        <a:prstGeom prst="rect">
          <a:avLst/>
        </a:prstGeom>
        <a:gradFill flip="none" rotWithShape="1">
          <a:gsLst>
            <a:gs pos="100000">
              <a:srgbClr val="BDABAB">
                <a:tint val="66000"/>
                <a:satMod val="160000"/>
              </a:srgbClr>
            </a:gs>
            <a:gs pos="26000">
              <a:srgbClr val="574964"/>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134257</xdr:rowOff>
    </xdr:from>
    <xdr:to>
      <xdr:col>2</xdr:col>
      <xdr:colOff>638629</xdr:colOff>
      <xdr:row>15</xdr:row>
      <xdr:rowOff>161471</xdr:rowOff>
    </xdr:to>
    <xdr:sp macro="" textlink="">
      <xdr:nvSpPr>
        <xdr:cNvPr id="46" name="Rectangle: Rounded Corners 45">
          <a:extLst>
            <a:ext uri="{FF2B5EF4-FFF2-40B4-BE49-F238E27FC236}">
              <a16:creationId xmlns:a16="http://schemas.microsoft.com/office/drawing/2014/main" id="{705C2639-55A4-4E9B-A3E1-F69823921E66}"/>
            </a:ext>
          </a:extLst>
        </xdr:cNvPr>
        <xdr:cNvSpPr/>
      </xdr:nvSpPr>
      <xdr:spPr>
        <a:xfrm>
          <a:off x="0" y="2311400"/>
          <a:ext cx="1981200" cy="571500"/>
        </a:xfrm>
        <a:prstGeom prst="roundRect">
          <a:avLst/>
        </a:prstGeom>
        <a:solidFill>
          <a:srgbClr val="57496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81643</xdr:colOff>
      <xdr:row>0</xdr:row>
      <xdr:rowOff>101600</xdr:rowOff>
    </xdr:from>
    <xdr:to>
      <xdr:col>23</xdr:col>
      <xdr:colOff>613229</xdr:colOff>
      <xdr:row>5</xdr:row>
      <xdr:rowOff>7257</xdr:rowOff>
    </xdr:to>
    <xdr:sp macro="" textlink="">
      <xdr:nvSpPr>
        <xdr:cNvPr id="47" name="Rectangle: Rounded Corners 46">
          <a:extLst>
            <a:ext uri="{FF2B5EF4-FFF2-40B4-BE49-F238E27FC236}">
              <a16:creationId xmlns:a16="http://schemas.microsoft.com/office/drawing/2014/main" id="{7B729F2D-F476-4167-B7F2-B6577B7D683E}"/>
            </a:ext>
          </a:extLst>
        </xdr:cNvPr>
        <xdr:cNvSpPr/>
      </xdr:nvSpPr>
      <xdr:spPr>
        <a:xfrm>
          <a:off x="2095500" y="101600"/>
          <a:ext cx="13957300" cy="812800"/>
        </a:xfrm>
        <a:prstGeom prst="roundRect">
          <a:avLst>
            <a:gd name="adj" fmla="val 27462"/>
          </a:avLst>
        </a:prstGeom>
        <a:gradFill flip="none" rotWithShape="1">
          <a:gsLst>
            <a:gs pos="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F9F3"/>
              </a:solidFill>
              <a:latin typeface="Dubai" panose="020B0503030403030204" pitchFamily="34" charset="-78"/>
              <a:cs typeface="Dubai" panose="020B0503030403030204" pitchFamily="34" charset="-78"/>
            </a:rPr>
            <a:t>Agent Performance Dashboard</a:t>
          </a:r>
        </a:p>
      </xdr:txBody>
    </xdr:sp>
    <xdr:clientData/>
  </xdr:twoCellAnchor>
  <xdr:twoCellAnchor editAs="oneCell">
    <xdr:from>
      <xdr:col>0</xdr:col>
      <xdr:colOff>80995</xdr:colOff>
      <xdr:row>0</xdr:row>
      <xdr:rowOff>46652</xdr:rowOff>
    </xdr:from>
    <xdr:to>
      <xdr:col>0</xdr:col>
      <xdr:colOff>539052</xdr:colOff>
      <xdr:row>2</xdr:row>
      <xdr:rowOff>136552</xdr:rowOff>
    </xdr:to>
    <xdr:pic>
      <xdr:nvPicPr>
        <xdr:cNvPr id="59" name="Picture 58">
          <a:extLst>
            <a:ext uri="{FF2B5EF4-FFF2-40B4-BE49-F238E27FC236}">
              <a16:creationId xmlns:a16="http://schemas.microsoft.com/office/drawing/2014/main" id="{A36D9A79-B9CB-4F53-84CE-852CA859E5A4}"/>
            </a:ext>
          </a:extLst>
        </xdr:cNvPr>
        <xdr:cNvPicPr>
          <a:picLocks noChangeAspect="1"/>
        </xdr:cNvPicPr>
      </xdr:nvPicPr>
      <xdr:blipFill>
        <a:blip xmlns:r="http://schemas.openxmlformats.org/officeDocument/2006/relationships" r:embed="rId1"/>
        <a:stretch>
          <a:fillRect/>
        </a:stretch>
      </xdr:blipFill>
      <xdr:spPr>
        <a:xfrm>
          <a:off x="80995" y="46652"/>
          <a:ext cx="458057" cy="455660"/>
        </a:xfrm>
        <a:prstGeom prst="rect">
          <a:avLst/>
        </a:prstGeom>
      </xdr:spPr>
    </xdr:pic>
    <xdr:clientData/>
  </xdr:twoCellAnchor>
  <xdr:twoCellAnchor editAs="oneCell">
    <xdr:from>
      <xdr:col>1</xdr:col>
      <xdr:colOff>52614</xdr:colOff>
      <xdr:row>45</xdr:row>
      <xdr:rowOff>154214</xdr:rowOff>
    </xdr:from>
    <xdr:to>
      <xdr:col>1</xdr:col>
      <xdr:colOff>498557</xdr:colOff>
      <xdr:row>48</xdr:row>
      <xdr:rowOff>52988</xdr:rowOff>
    </xdr:to>
    <xdr:pic>
      <xdr:nvPicPr>
        <xdr:cNvPr id="60" name="Picture 59">
          <a:hlinkClick xmlns:r="http://schemas.openxmlformats.org/officeDocument/2006/relationships" r:id="rId2"/>
          <a:extLst>
            <a:ext uri="{FF2B5EF4-FFF2-40B4-BE49-F238E27FC236}">
              <a16:creationId xmlns:a16="http://schemas.microsoft.com/office/drawing/2014/main" id="{53FDFBED-B1D3-4D23-BE52-37BF0CD00CD1}"/>
            </a:ext>
          </a:extLst>
        </xdr:cNvPr>
        <xdr:cNvPicPr>
          <a:picLocks noChangeAspect="1"/>
        </xdr:cNvPicPr>
      </xdr:nvPicPr>
      <xdr:blipFill>
        <a:blip xmlns:r="http://schemas.openxmlformats.org/officeDocument/2006/relationships" r:embed="rId3"/>
        <a:stretch>
          <a:fillRect/>
        </a:stretch>
      </xdr:blipFill>
      <xdr:spPr>
        <a:xfrm>
          <a:off x="723900" y="8318500"/>
          <a:ext cx="445943" cy="443059"/>
        </a:xfrm>
        <a:prstGeom prst="rect">
          <a:avLst/>
        </a:prstGeom>
      </xdr:spPr>
    </xdr:pic>
    <xdr:clientData/>
  </xdr:twoCellAnchor>
  <xdr:twoCellAnchor>
    <xdr:from>
      <xdr:col>0</xdr:col>
      <xdr:colOff>177800</xdr:colOff>
      <xdr:row>7</xdr:row>
      <xdr:rowOff>177800</xdr:rowOff>
    </xdr:from>
    <xdr:to>
      <xdr:col>2</xdr:col>
      <xdr:colOff>596659</xdr:colOff>
      <xdr:row>10</xdr:row>
      <xdr:rowOff>121516</xdr:rowOff>
    </xdr:to>
    <xdr:grpSp>
      <xdr:nvGrpSpPr>
        <xdr:cNvPr id="61" name="Group 60">
          <a:extLst>
            <a:ext uri="{FF2B5EF4-FFF2-40B4-BE49-F238E27FC236}">
              <a16:creationId xmlns:a16="http://schemas.microsoft.com/office/drawing/2014/main" id="{1772BDEF-7A24-427A-B49D-5B00EFCE1CFD}"/>
            </a:ext>
          </a:extLst>
        </xdr:cNvPr>
        <xdr:cNvGrpSpPr/>
      </xdr:nvGrpSpPr>
      <xdr:grpSpPr>
        <a:xfrm>
          <a:off x="177800" y="1473200"/>
          <a:ext cx="1757802" cy="498887"/>
          <a:chOff x="178618" y="1456043"/>
          <a:chExt cx="1759593" cy="493513"/>
        </a:xfrm>
      </xdr:grpSpPr>
      <xdr:sp macro="" textlink="">
        <xdr:nvSpPr>
          <xdr:cNvPr id="62" name="TextBox 61">
            <a:hlinkClick xmlns:r="http://schemas.openxmlformats.org/officeDocument/2006/relationships" r:id="rId4"/>
            <a:extLst>
              <a:ext uri="{FF2B5EF4-FFF2-40B4-BE49-F238E27FC236}">
                <a16:creationId xmlns:a16="http://schemas.microsoft.com/office/drawing/2014/main" id="{4C93C48B-20A8-A480-7D28-8C020F6F8EA3}"/>
              </a:ext>
            </a:extLst>
          </xdr:cNvPr>
          <xdr:cNvSpPr txBox="1"/>
        </xdr:nvSpPr>
        <xdr:spPr>
          <a:xfrm>
            <a:off x="450272" y="1456043"/>
            <a:ext cx="1487939" cy="493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Overview</a:t>
            </a:r>
          </a:p>
        </xdr:txBody>
      </xdr:sp>
      <xdr:pic>
        <xdr:nvPicPr>
          <xdr:cNvPr id="63" name="Picture 62">
            <a:extLst>
              <a:ext uri="{FF2B5EF4-FFF2-40B4-BE49-F238E27FC236}">
                <a16:creationId xmlns:a16="http://schemas.microsoft.com/office/drawing/2014/main" id="{C78C7F65-14FD-B438-7F8B-586406A6694F}"/>
              </a:ext>
            </a:extLst>
          </xdr:cNvPr>
          <xdr:cNvPicPr>
            <a:picLocks noChangeAspect="1"/>
          </xdr:cNvPicPr>
        </xdr:nvPicPr>
        <xdr:blipFill>
          <a:blip xmlns:r="http://schemas.openxmlformats.org/officeDocument/2006/relationships" r:embed="rId5"/>
          <a:stretch>
            <a:fillRect/>
          </a:stretch>
        </xdr:blipFill>
        <xdr:spPr>
          <a:xfrm>
            <a:off x="178618" y="1500199"/>
            <a:ext cx="334503" cy="337352"/>
          </a:xfrm>
          <a:prstGeom prst="rect">
            <a:avLst/>
          </a:prstGeom>
        </xdr:spPr>
      </xdr:pic>
    </xdr:grpSp>
    <xdr:clientData/>
  </xdr:twoCellAnchor>
  <xdr:twoCellAnchor>
    <xdr:from>
      <xdr:col>0</xdr:col>
      <xdr:colOff>177800</xdr:colOff>
      <xdr:row>13</xdr:row>
      <xdr:rowOff>16329</xdr:rowOff>
    </xdr:from>
    <xdr:to>
      <xdr:col>2</xdr:col>
      <xdr:colOff>594000</xdr:colOff>
      <xdr:row>15</xdr:row>
      <xdr:rowOff>89518</xdr:rowOff>
    </xdr:to>
    <xdr:grpSp>
      <xdr:nvGrpSpPr>
        <xdr:cNvPr id="64" name="Group 63">
          <a:extLst>
            <a:ext uri="{FF2B5EF4-FFF2-40B4-BE49-F238E27FC236}">
              <a16:creationId xmlns:a16="http://schemas.microsoft.com/office/drawing/2014/main" id="{47E1133E-9D93-4230-8329-2EF9878D09B0}"/>
            </a:ext>
          </a:extLst>
        </xdr:cNvPr>
        <xdr:cNvGrpSpPr/>
      </xdr:nvGrpSpPr>
      <xdr:grpSpPr>
        <a:xfrm>
          <a:off x="177800" y="2422072"/>
          <a:ext cx="1755143" cy="443303"/>
          <a:chOff x="181277" y="2378866"/>
          <a:chExt cx="1756934" cy="441558"/>
        </a:xfrm>
      </xdr:grpSpPr>
      <xdr:sp macro="" textlink="">
        <xdr:nvSpPr>
          <xdr:cNvPr id="65" name="TextBox 64">
            <a:hlinkClick xmlns:r="http://schemas.openxmlformats.org/officeDocument/2006/relationships" r:id="rId6"/>
            <a:extLst>
              <a:ext uri="{FF2B5EF4-FFF2-40B4-BE49-F238E27FC236}">
                <a16:creationId xmlns:a16="http://schemas.microsoft.com/office/drawing/2014/main" id="{D6D31786-F478-CA3A-7144-11CA86D9E98A}"/>
              </a:ext>
            </a:extLst>
          </xdr:cNvPr>
          <xdr:cNvSpPr txBox="1"/>
        </xdr:nvSpPr>
        <xdr:spPr>
          <a:xfrm>
            <a:off x="333375" y="2378866"/>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Performance</a:t>
            </a:r>
          </a:p>
        </xdr:txBody>
      </xdr:sp>
      <xdr:pic>
        <xdr:nvPicPr>
          <xdr:cNvPr id="66" name="Picture 65">
            <a:extLst>
              <a:ext uri="{FF2B5EF4-FFF2-40B4-BE49-F238E27FC236}">
                <a16:creationId xmlns:a16="http://schemas.microsoft.com/office/drawing/2014/main" id="{F45D3332-A192-B8B8-6716-F3FDBD7D2054}"/>
              </a:ext>
            </a:extLst>
          </xdr:cNvPr>
          <xdr:cNvPicPr>
            <a:picLocks noChangeAspect="1"/>
          </xdr:cNvPicPr>
        </xdr:nvPicPr>
        <xdr:blipFill>
          <a:blip xmlns:r="http://schemas.openxmlformats.org/officeDocument/2006/relationships" r:embed="rId7"/>
          <a:stretch>
            <a:fillRect/>
          </a:stretch>
        </xdr:blipFill>
        <xdr:spPr>
          <a:xfrm>
            <a:off x="181277" y="2412762"/>
            <a:ext cx="329184" cy="330609"/>
          </a:xfrm>
          <a:prstGeom prst="rect">
            <a:avLst/>
          </a:prstGeom>
        </xdr:spPr>
      </xdr:pic>
    </xdr:grpSp>
    <xdr:clientData/>
  </xdr:twoCellAnchor>
  <xdr:twoCellAnchor>
    <xdr:from>
      <xdr:col>0</xdr:col>
      <xdr:colOff>177800</xdr:colOff>
      <xdr:row>17</xdr:row>
      <xdr:rowOff>154214</xdr:rowOff>
    </xdr:from>
    <xdr:to>
      <xdr:col>2</xdr:col>
      <xdr:colOff>594000</xdr:colOff>
      <xdr:row>20</xdr:row>
      <xdr:rowOff>45975</xdr:rowOff>
    </xdr:to>
    <xdr:grpSp>
      <xdr:nvGrpSpPr>
        <xdr:cNvPr id="67" name="Group 66">
          <a:extLst>
            <a:ext uri="{FF2B5EF4-FFF2-40B4-BE49-F238E27FC236}">
              <a16:creationId xmlns:a16="http://schemas.microsoft.com/office/drawing/2014/main" id="{CB29194D-8287-4622-9289-3E1BE7DC31A8}"/>
            </a:ext>
          </a:extLst>
        </xdr:cNvPr>
        <xdr:cNvGrpSpPr/>
      </xdr:nvGrpSpPr>
      <xdr:grpSpPr>
        <a:xfrm>
          <a:off x="177800" y="3300185"/>
          <a:ext cx="1755143" cy="446933"/>
          <a:chOff x="181277" y="3249735"/>
          <a:chExt cx="1756934" cy="441558"/>
        </a:xfrm>
      </xdr:grpSpPr>
      <xdr:sp macro="" textlink="">
        <xdr:nvSpPr>
          <xdr:cNvPr id="68" name="TextBox 67">
            <a:hlinkClick xmlns:r="http://schemas.openxmlformats.org/officeDocument/2006/relationships" r:id="rId8"/>
            <a:extLst>
              <a:ext uri="{FF2B5EF4-FFF2-40B4-BE49-F238E27FC236}">
                <a16:creationId xmlns:a16="http://schemas.microsoft.com/office/drawing/2014/main" id="{8453318F-B484-3430-103D-58F378A02C8C}"/>
              </a:ext>
            </a:extLst>
          </xdr:cNvPr>
          <xdr:cNvSpPr txBox="1"/>
        </xdr:nvSpPr>
        <xdr:spPr>
          <a:xfrm>
            <a:off x="333375" y="3249735"/>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Customer</a:t>
            </a:r>
          </a:p>
        </xdr:txBody>
      </xdr:sp>
      <xdr:pic>
        <xdr:nvPicPr>
          <xdr:cNvPr id="69" name="Picture 68">
            <a:extLst>
              <a:ext uri="{FF2B5EF4-FFF2-40B4-BE49-F238E27FC236}">
                <a16:creationId xmlns:a16="http://schemas.microsoft.com/office/drawing/2014/main" id="{61B81A00-E83C-A5CF-DA5C-5FBEC5F45EF5}"/>
              </a:ext>
            </a:extLst>
          </xdr:cNvPr>
          <xdr:cNvPicPr>
            <a:picLocks noChangeAspect="1"/>
          </xdr:cNvPicPr>
        </xdr:nvPicPr>
        <xdr:blipFill>
          <a:blip xmlns:r="http://schemas.openxmlformats.org/officeDocument/2006/relationships" r:embed="rId9"/>
          <a:stretch>
            <a:fillRect/>
          </a:stretch>
        </xdr:blipFill>
        <xdr:spPr>
          <a:xfrm>
            <a:off x="181277" y="3305210"/>
            <a:ext cx="329184" cy="330609"/>
          </a:xfrm>
          <a:prstGeom prst="rect">
            <a:avLst/>
          </a:prstGeom>
        </xdr:spPr>
      </xdr:pic>
    </xdr:grpSp>
    <xdr:clientData/>
  </xdr:twoCellAnchor>
  <xdr:twoCellAnchor editAs="oneCell">
    <xdr:from>
      <xdr:col>8</xdr:col>
      <xdr:colOff>370114</xdr:colOff>
      <xdr:row>1</xdr:row>
      <xdr:rowOff>47171</xdr:rowOff>
    </xdr:from>
    <xdr:to>
      <xdr:col>9</xdr:col>
      <xdr:colOff>258706</xdr:colOff>
      <xdr:row>4</xdr:row>
      <xdr:rowOff>62763</xdr:rowOff>
    </xdr:to>
    <xdr:pic>
      <xdr:nvPicPr>
        <xdr:cNvPr id="70" name="Picture 69">
          <a:extLst>
            <a:ext uri="{FF2B5EF4-FFF2-40B4-BE49-F238E27FC236}">
              <a16:creationId xmlns:a16="http://schemas.microsoft.com/office/drawing/2014/main" id="{957DAA1F-B5E8-8732-570D-11946EEB4D27}"/>
            </a:ext>
          </a:extLst>
        </xdr:cNvPr>
        <xdr:cNvPicPr>
          <a:picLocks noChangeAspect="1"/>
        </xdr:cNvPicPr>
      </xdr:nvPicPr>
      <xdr:blipFill>
        <a:blip xmlns:r="http://schemas.openxmlformats.org/officeDocument/2006/relationships" r:embed="rId7"/>
        <a:stretch>
          <a:fillRect/>
        </a:stretch>
      </xdr:blipFill>
      <xdr:spPr>
        <a:xfrm>
          <a:off x="5740400" y="228600"/>
          <a:ext cx="559877" cy="559877"/>
        </a:xfrm>
        <a:prstGeom prst="rect">
          <a:avLst/>
        </a:prstGeom>
      </xdr:spPr>
    </xdr:pic>
    <xdr:clientData/>
  </xdr:twoCellAnchor>
  <xdr:twoCellAnchor>
    <xdr:from>
      <xdr:col>3</xdr:col>
      <xdr:colOff>81643</xdr:colOff>
      <xdr:row>6</xdr:row>
      <xdr:rowOff>3629</xdr:rowOff>
    </xdr:from>
    <xdr:to>
      <xdr:col>11</xdr:col>
      <xdr:colOff>502557</xdr:colOff>
      <xdr:row>20</xdr:row>
      <xdr:rowOff>3629</xdr:rowOff>
    </xdr:to>
    <xdr:sp macro="" textlink="">
      <xdr:nvSpPr>
        <xdr:cNvPr id="73" name="Rectangle: Rounded Corners 72">
          <a:extLst>
            <a:ext uri="{FF2B5EF4-FFF2-40B4-BE49-F238E27FC236}">
              <a16:creationId xmlns:a16="http://schemas.microsoft.com/office/drawing/2014/main" id="{D1EF4197-F9F2-BD79-AB59-FF11F649823B}"/>
            </a:ext>
          </a:extLst>
        </xdr:cNvPr>
        <xdr:cNvSpPr/>
      </xdr:nvSpPr>
      <xdr:spPr>
        <a:xfrm>
          <a:off x="2095500" y="1092200"/>
          <a:ext cx="5791200" cy="2540000"/>
        </a:xfrm>
        <a:prstGeom prst="roundRect">
          <a:avLst>
            <a:gd name="adj" fmla="val 6944"/>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134620</xdr:colOff>
      <xdr:row>6</xdr:row>
      <xdr:rowOff>45720</xdr:rowOff>
    </xdr:from>
    <xdr:to>
      <xdr:col>11</xdr:col>
      <xdr:colOff>459740</xdr:colOff>
      <xdr:row>19</xdr:row>
      <xdr:rowOff>106680</xdr:rowOff>
    </xdr:to>
    <xdr:graphicFrame macro="">
      <xdr:nvGraphicFramePr>
        <xdr:cNvPr id="74" name="Chart 73">
          <a:extLst>
            <a:ext uri="{FF2B5EF4-FFF2-40B4-BE49-F238E27FC236}">
              <a16:creationId xmlns:a16="http://schemas.microsoft.com/office/drawing/2014/main" id="{B9324EAF-E6BD-4BD1-A54B-9467D0B83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9071</xdr:colOff>
      <xdr:row>6</xdr:row>
      <xdr:rowOff>3629</xdr:rowOff>
    </xdr:from>
    <xdr:to>
      <xdr:col>20</xdr:col>
      <xdr:colOff>429986</xdr:colOff>
      <xdr:row>20</xdr:row>
      <xdr:rowOff>3629</xdr:rowOff>
    </xdr:to>
    <xdr:sp macro="" textlink="">
      <xdr:nvSpPr>
        <xdr:cNvPr id="75" name="Rectangle: Rounded Corners 74">
          <a:extLst>
            <a:ext uri="{FF2B5EF4-FFF2-40B4-BE49-F238E27FC236}">
              <a16:creationId xmlns:a16="http://schemas.microsoft.com/office/drawing/2014/main" id="{04378B63-1ABF-7C73-764A-748DBA6D8547}"/>
            </a:ext>
          </a:extLst>
        </xdr:cNvPr>
        <xdr:cNvSpPr/>
      </xdr:nvSpPr>
      <xdr:spPr>
        <a:xfrm>
          <a:off x="8064500" y="1092200"/>
          <a:ext cx="5791200" cy="2540000"/>
        </a:xfrm>
        <a:prstGeom prst="roundRect">
          <a:avLst>
            <a:gd name="adj" fmla="val 6944"/>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68579</xdr:colOff>
      <xdr:row>6</xdr:row>
      <xdr:rowOff>45720</xdr:rowOff>
    </xdr:from>
    <xdr:to>
      <xdr:col>20</xdr:col>
      <xdr:colOff>393699</xdr:colOff>
      <xdr:row>19</xdr:row>
      <xdr:rowOff>106680</xdr:rowOff>
    </xdr:to>
    <xdr:graphicFrame macro="">
      <xdr:nvGraphicFramePr>
        <xdr:cNvPr id="78" name="Chart 77">
          <a:extLst>
            <a:ext uri="{FF2B5EF4-FFF2-40B4-BE49-F238E27FC236}">
              <a16:creationId xmlns:a16="http://schemas.microsoft.com/office/drawing/2014/main" id="{5A32F25A-6780-4A72-BB95-BAD4B26E8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81643</xdr:colOff>
      <xdr:row>21</xdr:row>
      <xdr:rowOff>0</xdr:rowOff>
    </xdr:from>
    <xdr:to>
      <xdr:col>11</xdr:col>
      <xdr:colOff>502557</xdr:colOff>
      <xdr:row>35</xdr:row>
      <xdr:rowOff>0</xdr:rowOff>
    </xdr:to>
    <xdr:sp macro="" textlink="">
      <xdr:nvSpPr>
        <xdr:cNvPr id="3" name="Rectangle: Rounded Corners 2">
          <a:extLst>
            <a:ext uri="{FF2B5EF4-FFF2-40B4-BE49-F238E27FC236}">
              <a16:creationId xmlns:a16="http://schemas.microsoft.com/office/drawing/2014/main" id="{C7DE2FC1-09D5-F05E-DB4A-661BD1D4DAB5}"/>
            </a:ext>
          </a:extLst>
        </xdr:cNvPr>
        <xdr:cNvSpPr/>
      </xdr:nvSpPr>
      <xdr:spPr>
        <a:xfrm>
          <a:off x="2095500" y="3810000"/>
          <a:ext cx="5791200" cy="2540000"/>
        </a:xfrm>
        <a:prstGeom prst="roundRect">
          <a:avLst>
            <a:gd name="adj" fmla="val 6944"/>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134620</xdr:colOff>
      <xdr:row>21</xdr:row>
      <xdr:rowOff>20320</xdr:rowOff>
    </xdr:from>
    <xdr:to>
      <xdr:col>11</xdr:col>
      <xdr:colOff>459740</xdr:colOff>
      <xdr:row>34</xdr:row>
      <xdr:rowOff>81280</xdr:rowOff>
    </xdr:to>
    <xdr:graphicFrame macro="">
      <xdr:nvGraphicFramePr>
        <xdr:cNvPr id="4" name="Chart 3">
          <a:extLst>
            <a:ext uri="{FF2B5EF4-FFF2-40B4-BE49-F238E27FC236}">
              <a16:creationId xmlns:a16="http://schemas.microsoft.com/office/drawing/2014/main" id="{2C8B2490-75FF-4C57-B935-38D4D624F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9071</xdr:colOff>
      <xdr:row>21</xdr:row>
      <xdr:rowOff>0</xdr:rowOff>
    </xdr:from>
    <xdr:to>
      <xdr:col>20</xdr:col>
      <xdr:colOff>429986</xdr:colOff>
      <xdr:row>35</xdr:row>
      <xdr:rowOff>0</xdr:rowOff>
    </xdr:to>
    <xdr:sp macro="" textlink="">
      <xdr:nvSpPr>
        <xdr:cNvPr id="5" name="Rectangle: Rounded Corners 4">
          <a:extLst>
            <a:ext uri="{FF2B5EF4-FFF2-40B4-BE49-F238E27FC236}">
              <a16:creationId xmlns:a16="http://schemas.microsoft.com/office/drawing/2014/main" id="{5B510ECA-2D56-9A24-55EC-924F3A25D578}"/>
            </a:ext>
          </a:extLst>
        </xdr:cNvPr>
        <xdr:cNvSpPr/>
      </xdr:nvSpPr>
      <xdr:spPr>
        <a:xfrm>
          <a:off x="8064500" y="3810000"/>
          <a:ext cx="5791200" cy="2540000"/>
        </a:xfrm>
        <a:prstGeom prst="roundRect">
          <a:avLst>
            <a:gd name="adj" fmla="val 6944"/>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68580</xdr:colOff>
      <xdr:row>21</xdr:row>
      <xdr:rowOff>20320</xdr:rowOff>
    </xdr:from>
    <xdr:to>
      <xdr:col>20</xdr:col>
      <xdr:colOff>393700</xdr:colOff>
      <xdr:row>34</xdr:row>
      <xdr:rowOff>81280</xdr:rowOff>
    </xdr:to>
    <xdr:graphicFrame macro="">
      <xdr:nvGraphicFramePr>
        <xdr:cNvPr id="6" name="Chart 5">
          <a:extLst>
            <a:ext uri="{FF2B5EF4-FFF2-40B4-BE49-F238E27FC236}">
              <a16:creationId xmlns:a16="http://schemas.microsoft.com/office/drawing/2014/main" id="{58F0D934-457E-4631-AAA5-86FD6F40C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134619</xdr:colOff>
      <xdr:row>35</xdr:row>
      <xdr:rowOff>177800</xdr:rowOff>
    </xdr:from>
    <xdr:to>
      <xdr:col>23</xdr:col>
      <xdr:colOff>579119</xdr:colOff>
      <xdr:row>48</xdr:row>
      <xdr:rowOff>137160</xdr:rowOff>
    </xdr:to>
    <xdr:graphicFrame macro="">
      <xdr:nvGraphicFramePr>
        <xdr:cNvPr id="7" name="Chart 6">
          <a:extLst>
            <a:ext uri="{FF2B5EF4-FFF2-40B4-BE49-F238E27FC236}">
              <a16:creationId xmlns:a16="http://schemas.microsoft.com/office/drawing/2014/main" id="{8EC1306A-2CC4-4EF3-A2B2-5C3C16934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607786</xdr:colOff>
      <xdr:row>6</xdr:row>
      <xdr:rowOff>3629</xdr:rowOff>
    </xdr:from>
    <xdr:to>
      <xdr:col>23</xdr:col>
      <xdr:colOff>613229</xdr:colOff>
      <xdr:row>16</xdr:row>
      <xdr:rowOff>43543</xdr:rowOff>
    </xdr:to>
    <mc:AlternateContent xmlns:mc="http://schemas.openxmlformats.org/markup-compatibility/2006" xmlns:a14="http://schemas.microsoft.com/office/drawing/2010/main">
      <mc:Choice Requires="a14">
        <xdr:graphicFrame macro="">
          <xdr:nvGraphicFramePr>
            <xdr:cNvPr id="10" name="Representative 1">
              <a:extLst>
                <a:ext uri="{FF2B5EF4-FFF2-40B4-BE49-F238E27FC236}">
                  <a16:creationId xmlns:a16="http://schemas.microsoft.com/office/drawing/2014/main" id="{DDD34AD9-20EB-4E06-B064-81C2C4A3960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1841607" y="1089422"/>
              <a:ext cx="1828800"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607786</xdr:colOff>
      <xdr:row>17</xdr:row>
      <xdr:rowOff>39914</xdr:rowOff>
    </xdr:from>
    <xdr:to>
      <xdr:col>23</xdr:col>
      <xdr:colOff>613229</xdr:colOff>
      <xdr:row>30</xdr:row>
      <xdr:rowOff>107043</xdr:rowOff>
    </xdr:to>
    <mc:AlternateContent xmlns:mc="http://schemas.openxmlformats.org/markup-compatibility/2006" xmlns:a14="http://schemas.microsoft.com/office/drawing/2010/main">
      <mc:Choice Requires="a14">
        <xdr:graphicFrame macro="">
          <xdr:nvGraphicFramePr>
            <xdr:cNvPr id="11" name="Day of week">
              <a:extLst>
                <a:ext uri="{FF2B5EF4-FFF2-40B4-BE49-F238E27FC236}">
                  <a16:creationId xmlns:a16="http://schemas.microsoft.com/office/drawing/2014/main" id="{58EC8706-3847-48A5-9947-24CE702F2961}"/>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11841607" y="3983692"/>
              <a:ext cx="1828800"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551180</xdr:colOff>
      <xdr:row>50</xdr:row>
      <xdr:rowOff>0</xdr:rowOff>
    </xdr:to>
    <xdr:sp macro="" textlink="">
      <xdr:nvSpPr>
        <xdr:cNvPr id="2" name="Rectangle 1">
          <a:extLst>
            <a:ext uri="{FF2B5EF4-FFF2-40B4-BE49-F238E27FC236}">
              <a16:creationId xmlns:a16="http://schemas.microsoft.com/office/drawing/2014/main" id="{A1577580-3FF0-48F4-9C64-3E143D426C91}"/>
            </a:ext>
          </a:extLst>
        </xdr:cNvPr>
        <xdr:cNvSpPr/>
      </xdr:nvSpPr>
      <xdr:spPr>
        <a:xfrm>
          <a:off x="0" y="0"/>
          <a:ext cx="1892300" cy="9144000"/>
        </a:xfrm>
        <a:prstGeom prst="rect">
          <a:avLst/>
        </a:prstGeom>
        <a:gradFill flip="none" rotWithShape="1">
          <a:gsLst>
            <a:gs pos="100000">
              <a:srgbClr val="BDABAB">
                <a:tint val="66000"/>
                <a:satMod val="160000"/>
              </a:srgbClr>
            </a:gs>
            <a:gs pos="26000">
              <a:srgbClr val="574964"/>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xdr:colOff>
      <xdr:row>5</xdr:row>
      <xdr:rowOff>177800</xdr:rowOff>
    </xdr:from>
    <xdr:to>
      <xdr:col>7</xdr:col>
      <xdr:colOff>208280</xdr:colOff>
      <xdr:row>11</xdr:row>
      <xdr:rowOff>134620</xdr:rowOff>
    </xdr:to>
    <xdr:sp macro="" textlink="">
      <xdr:nvSpPr>
        <xdr:cNvPr id="5" name="Rectangle: Rounded Corners 4">
          <a:extLst>
            <a:ext uri="{FF2B5EF4-FFF2-40B4-BE49-F238E27FC236}">
              <a16:creationId xmlns:a16="http://schemas.microsoft.com/office/drawing/2014/main" id="{5732E7A5-E164-4ECD-B128-68598302F1D4}"/>
            </a:ext>
          </a:extLst>
        </xdr:cNvPr>
        <xdr:cNvSpPr/>
      </xdr:nvSpPr>
      <xdr:spPr>
        <a:xfrm>
          <a:off x="2095500" y="1092200"/>
          <a:ext cx="2806700" cy="1054100"/>
        </a:xfrm>
        <a:prstGeom prst="roundRect">
          <a:avLst>
            <a:gd name="adj" fmla="val 10751"/>
          </a:avLst>
        </a:prstGeom>
        <a:gradFill flip="none" rotWithShape="1">
          <a:gsLst>
            <a:gs pos="100000">
              <a:srgbClr val="958B9B"/>
            </a:gs>
            <a:gs pos="10000">
              <a:srgbClr val="574964"/>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a:solidFill>
                <a:srgbClr val="FFF9F3"/>
              </a:solidFill>
              <a:latin typeface="Dubai" panose="020B0503030403030204" pitchFamily="34" charset="-78"/>
              <a:cs typeface="Dubai" panose="020B0503030403030204" pitchFamily="34" charset="-78"/>
            </a:rPr>
            <a:t>Unique</a:t>
          </a:r>
          <a:r>
            <a:rPr lang="en-US" sz="2200" baseline="0">
              <a:solidFill>
                <a:srgbClr val="FFF9F3"/>
              </a:solidFill>
              <a:latin typeface="Dubai" panose="020B0503030403030204" pitchFamily="34" charset="-78"/>
              <a:cs typeface="Dubai" panose="020B0503030403030204" pitchFamily="34" charset="-78"/>
            </a:rPr>
            <a:t> Clients</a:t>
          </a:r>
          <a:endParaRPr lang="en-US" sz="2200">
            <a:solidFill>
              <a:srgbClr val="FFF9F3"/>
            </a:solidFill>
            <a:latin typeface="Dubai" panose="020B0503030403030204" pitchFamily="34" charset="-78"/>
            <a:cs typeface="Dubai" panose="020B0503030403030204" pitchFamily="34" charset="-78"/>
          </a:endParaRPr>
        </a:p>
      </xdr:txBody>
    </xdr:sp>
    <xdr:clientData/>
  </xdr:twoCellAnchor>
  <xdr:twoCellAnchor>
    <xdr:from>
      <xdr:col>3</xdr:col>
      <xdr:colOff>83820</xdr:colOff>
      <xdr:row>12</xdr:row>
      <xdr:rowOff>129540</xdr:rowOff>
    </xdr:from>
    <xdr:to>
      <xdr:col>11</xdr:col>
      <xdr:colOff>510540</xdr:colOff>
      <xdr:row>30</xdr:row>
      <xdr:rowOff>76200</xdr:rowOff>
    </xdr:to>
    <xdr:sp macro="" textlink="">
      <xdr:nvSpPr>
        <xdr:cNvPr id="6" name="Rectangle: Rounded Corners 5">
          <a:extLst>
            <a:ext uri="{FF2B5EF4-FFF2-40B4-BE49-F238E27FC236}">
              <a16:creationId xmlns:a16="http://schemas.microsoft.com/office/drawing/2014/main" id="{B6CAA8DD-CB1B-42F5-A5AF-946891B5C3EF}"/>
            </a:ext>
          </a:extLst>
        </xdr:cNvPr>
        <xdr:cNvSpPr/>
      </xdr:nvSpPr>
      <xdr:spPr>
        <a:xfrm>
          <a:off x="2095500" y="2324100"/>
          <a:ext cx="5791200" cy="32385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17780</xdr:colOff>
      <xdr:row>12</xdr:row>
      <xdr:rowOff>129540</xdr:rowOff>
    </xdr:from>
    <xdr:to>
      <xdr:col>20</xdr:col>
      <xdr:colOff>444500</xdr:colOff>
      <xdr:row>30</xdr:row>
      <xdr:rowOff>76200</xdr:rowOff>
    </xdr:to>
    <xdr:sp macro="" textlink="">
      <xdr:nvSpPr>
        <xdr:cNvPr id="7" name="Rectangle: Rounded Corners 6">
          <a:extLst>
            <a:ext uri="{FF2B5EF4-FFF2-40B4-BE49-F238E27FC236}">
              <a16:creationId xmlns:a16="http://schemas.microsoft.com/office/drawing/2014/main" id="{5DA576FB-0308-4E73-8E0E-28A78CCDC5D4}"/>
            </a:ext>
          </a:extLst>
        </xdr:cNvPr>
        <xdr:cNvSpPr/>
      </xdr:nvSpPr>
      <xdr:spPr>
        <a:xfrm>
          <a:off x="8064500" y="2324100"/>
          <a:ext cx="5791200" cy="32385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146050</xdr:colOff>
      <xdr:row>9</xdr:row>
      <xdr:rowOff>43180</xdr:rowOff>
    </xdr:from>
    <xdr:to>
      <xdr:col>6</xdr:col>
      <xdr:colOff>146049</xdr:colOff>
      <xdr:row>10</xdr:row>
      <xdr:rowOff>150203</xdr:rowOff>
    </xdr:to>
    <xdr:sp macro="" textlink="Unique_customers">
      <xdr:nvSpPr>
        <xdr:cNvPr id="8" name="TextBox 7">
          <a:extLst>
            <a:ext uri="{FF2B5EF4-FFF2-40B4-BE49-F238E27FC236}">
              <a16:creationId xmlns:a16="http://schemas.microsoft.com/office/drawing/2014/main" id="{FA997910-0B87-41BD-B1BB-48AD519404C2}"/>
            </a:ext>
          </a:extLst>
        </xdr:cNvPr>
        <xdr:cNvSpPr txBox="1"/>
      </xdr:nvSpPr>
      <xdr:spPr>
        <a:xfrm>
          <a:off x="2828290" y="1689100"/>
          <a:ext cx="1341119" cy="28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295A4F-922B-472E-864B-68D0B42C5C2F}" type="TxLink">
            <a:rPr lang="en-US" sz="2200" b="0" i="0" u="none" strike="noStrike">
              <a:solidFill>
                <a:srgbClr val="FFF9F3"/>
              </a:solidFill>
              <a:latin typeface="Dubai" panose="020B0503030403030204" pitchFamily="34" charset="-78"/>
              <a:cs typeface="Dubai" panose="020B0503030403030204" pitchFamily="34" charset="-78"/>
            </a:rPr>
            <a:pPr algn="ctr"/>
            <a:t>15</a:t>
          </a:fld>
          <a:endParaRPr lang="en-US" sz="2200" b="0">
            <a:solidFill>
              <a:srgbClr val="FFF9F3"/>
            </a:solidFill>
            <a:latin typeface="Dubai" panose="020B0503030403030204" pitchFamily="34" charset="-78"/>
            <a:cs typeface="Dubai" panose="020B0503030403030204" pitchFamily="34" charset="-78"/>
          </a:endParaRPr>
        </a:p>
      </xdr:txBody>
    </xdr:sp>
    <xdr:clientData/>
  </xdr:twoCellAnchor>
  <xdr:twoCellAnchor>
    <xdr:from>
      <xdr:col>7</xdr:col>
      <xdr:colOff>386080</xdr:colOff>
      <xdr:row>5</xdr:row>
      <xdr:rowOff>177800</xdr:rowOff>
    </xdr:from>
    <xdr:to>
      <xdr:col>11</xdr:col>
      <xdr:colOff>510540</xdr:colOff>
      <xdr:row>11</xdr:row>
      <xdr:rowOff>134620</xdr:rowOff>
    </xdr:to>
    <xdr:sp macro="" textlink="">
      <xdr:nvSpPr>
        <xdr:cNvPr id="9" name="Rectangle: Rounded Corners 8">
          <a:extLst>
            <a:ext uri="{FF2B5EF4-FFF2-40B4-BE49-F238E27FC236}">
              <a16:creationId xmlns:a16="http://schemas.microsoft.com/office/drawing/2014/main" id="{53EB4C18-EB37-4B78-982B-BA2529D522AC}"/>
            </a:ext>
          </a:extLst>
        </xdr:cNvPr>
        <xdr:cNvSpPr/>
      </xdr:nvSpPr>
      <xdr:spPr>
        <a:xfrm>
          <a:off x="5080000" y="1092200"/>
          <a:ext cx="2806700" cy="10541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000"/>
            <a:t>Avg</a:t>
          </a:r>
          <a:r>
            <a:rPr lang="en-US" sz="2000" baseline="0"/>
            <a:t> Age</a:t>
          </a:r>
          <a:endParaRPr lang="en-US" sz="4000"/>
        </a:p>
      </xdr:txBody>
    </xdr:sp>
    <xdr:clientData/>
  </xdr:twoCellAnchor>
  <xdr:twoCellAnchor>
    <xdr:from>
      <xdr:col>12</xdr:col>
      <xdr:colOff>17780</xdr:colOff>
      <xdr:row>5</xdr:row>
      <xdr:rowOff>177800</xdr:rowOff>
    </xdr:from>
    <xdr:to>
      <xdr:col>20</xdr:col>
      <xdr:colOff>444500</xdr:colOff>
      <xdr:row>11</xdr:row>
      <xdr:rowOff>134620</xdr:rowOff>
    </xdr:to>
    <xdr:sp macro="" textlink="">
      <xdr:nvSpPr>
        <xdr:cNvPr id="10" name="Rectangle: Rounded Corners 9">
          <a:extLst>
            <a:ext uri="{FF2B5EF4-FFF2-40B4-BE49-F238E27FC236}">
              <a16:creationId xmlns:a16="http://schemas.microsoft.com/office/drawing/2014/main" id="{F367274D-F5D0-411C-A726-121D019E6B26}"/>
            </a:ext>
          </a:extLst>
        </xdr:cNvPr>
        <xdr:cNvSpPr/>
      </xdr:nvSpPr>
      <xdr:spPr>
        <a:xfrm>
          <a:off x="8064500" y="1092200"/>
          <a:ext cx="5791200" cy="10541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a:t>Gender</a:t>
          </a:r>
          <a:r>
            <a:rPr lang="en-US" sz="2200" baseline="0"/>
            <a:t> Split M/F</a:t>
          </a:r>
          <a:endParaRPr lang="en-US" sz="2200"/>
        </a:p>
      </xdr:txBody>
    </xdr:sp>
    <xdr:clientData/>
  </xdr:twoCellAnchor>
  <xdr:twoCellAnchor>
    <xdr:from>
      <xdr:col>8</xdr:col>
      <xdr:colOff>448310</xdr:colOff>
      <xdr:row>9</xdr:row>
      <xdr:rowOff>43180</xdr:rowOff>
    </xdr:from>
    <xdr:to>
      <xdr:col>10</xdr:col>
      <xdr:colOff>448310</xdr:colOff>
      <xdr:row>10</xdr:row>
      <xdr:rowOff>150203</xdr:rowOff>
    </xdr:to>
    <xdr:sp macro="" textlink="Average_of_Age">
      <xdr:nvSpPr>
        <xdr:cNvPr id="12" name="TextBox 11">
          <a:extLst>
            <a:ext uri="{FF2B5EF4-FFF2-40B4-BE49-F238E27FC236}">
              <a16:creationId xmlns:a16="http://schemas.microsoft.com/office/drawing/2014/main" id="{20E04510-3E98-409C-B074-E0B31A1559F5}"/>
            </a:ext>
          </a:extLst>
        </xdr:cNvPr>
        <xdr:cNvSpPr txBox="1"/>
      </xdr:nvSpPr>
      <xdr:spPr>
        <a:xfrm>
          <a:off x="5812790" y="1689100"/>
          <a:ext cx="1341120" cy="28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B8DB00-354D-4BD6-A9F6-1DADEFDE74F2}" type="TxLink">
            <a:rPr lang="en-US" sz="2000" b="0" i="0" u="none" strike="noStrike">
              <a:solidFill>
                <a:srgbClr val="FFF9F3"/>
              </a:solidFill>
              <a:latin typeface="Dubai" panose="020B0503030403030204" pitchFamily="34" charset="-78"/>
              <a:cs typeface="Dubai" panose="020B0503030403030204" pitchFamily="34" charset="-78"/>
            </a:rPr>
            <a:pPr algn="ctr"/>
            <a:t>32.6</a:t>
          </a:fld>
          <a:endParaRPr lang="en-US" sz="1100">
            <a:solidFill>
              <a:srgbClr val="FFF9F3"/>
            </a:solidFill>
            <a:latin typeface="Dubai" panose="020B0503030403030204" pitchFamily="34" charset="-78"/>
            <a:cs typeface="Dubai" panose="020B0503030403030204" pitchFamily="34" charset="-78"/>
          </a:endParaRPr>
        </a:p>
      </xdr:txBody>
    </xdr:sp>
    <xdr:clientData/>
  </xdr:twoCellAnchor>
  <xdr:twoCellAnchor>
    <xdr:from>
      <xdr:col>13</xdr:col>
      <xdr:colOff>382479</xdr:colOff>
      <xdr:row>9</xdr:row>
      <xdr:rowOff>43180</xdr:rowOff>
    </xdr:from>
    <xdr:to>
      <xdr:col>14</xdr:col>
      <xdr:colOff>537000</xdr:colOff>
      <xdr:row>10</xdr:row>
      <xdr:rowOff>149818</xdr:rowOff>
    </xdr:to>
    <xdr:sp macro="" textlink="Male">
      <xdr:nvSpPr>
        <xdr:cNvPr id="13" name="TextBox 12">
          <a:extLst>
            <a:ext uri="{FF2B5EF4-FFF2-40B4-BE49-F238E27FC236}">
              <a16:creationId xmlns:a16="http://schemas.microsoft.com/office/drawing/2014/main" id="{81EA2C4F-8689-4617-891B-529F5DB6BC8A}"/>
            </a:ext>
          </a:extLst>
        </xdr:cNvPr>
        <xdr:cNvSpPr txBox="1"/>
      </xdr:nvSpPr>
      <xdr:spPr>
        <a:xfrm>
          <a:off x="9099759" y="1689100"/>
          <a:ext cx="825081" cy="28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255FD-724C-41C9-997D-E0CBA92D1923}" type="TxLink">
            <a:rPr lang="en-US" sz="2000" b="0" i="0" u="none" strike="noStrike">
              <a:solidFill>
                <a:srgbClr val="FFF9F3"/>
              </a:solidFill>
              <a:latin typeface="Dubai" panose="020B0503030403030204" pitchFamily="34" charset="-78"/>
              <a:cs typeface="Dubai" panose="020B0503030403030204" pitchFamily="34" charset="-78"/>
            </a:rPr>
            <a:pPr algn="ctr"/>
            <a:t>40%</a:t>
          </a:fld>
          <a:endParaRPr lang="en-US" sz="1100">
            <a:solidFill>
              <a:srgbClr val="FFF9F3"/>
            </a:solidFill>
            <a:latin typeface="Dubai" panose="020B0503030403030204" pitchFamily="34" charset="-78"/>
            <a:cs typeface="Dubai" panose="020B0503030403030204" pitchFamily="34" charset="-78"/>
          </a:endParaRPr>
        </a:p>
      </xdr:txBody>
    </xdr:sp>
    <xdr:clientData/>
  </xdr:twoCellAnchor>
  <xdr:twoCellAnchor>
    <xdr:from>
      <xdr:col>17</xdr:col>
      <xdr:colOff>337820</xdr:colOff>
      <xdr:row>9</xdr:row>
      <xdr:rowOff>43180</xdr:rowOff>
    </xdr:from>
    <xdr:to>
      <xdr:col>19</xdr:col>
      <xdr:colOff>337820</xdr:colOff>
      <xdr:row>10</xdr:row>
      <xdr:rowOff>149818</xdr:rowOff>
    </xdr:to>
    <xdr:sp macro="" textlink="Female">
      <xdr:nvSpPr>
        <xdr:cNvPr id="14" name="TextBox 13">
          <a:extLst>
            <a:ext uri="{FF2B5EF4-FFF2-40B4-BE49-F238E27FC236}">
              <a16:creationId xmlns:a16="http://schemas.microsoft.com/office/drawing/2014/main" id="{1356CC68-087A-40C0-9CFC-96D317D9E175}"/>
            </a:ext>
          </a:extLst>
        </xdr:cNvPr>
        <xdr:cNvSpPr txBox="1"/>
      </xdr:nvSpPr>
      <xdr:spPr>
        <a:xfrm>
          <a:off x="11737340" y="1689100"/>
          <a:ext cx="1341120" cy="28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36CE21-FF95-4089-B93F-ADB701323FE7}" type="TxLink">
            <a:rPr lang="en-US" sz="2000" b="0" i="0" u="none" strike="noStrike">
              <a:solidFill>
                <a:srgbClr val="FFF9F3"/>
              </a:solidFill>
              <a:latin typeface="Dubai" panose="020B0503030403030204" pitchFamily="34" charset="-78"/>
              <a:cs typeface="Dubai" panose="020B0503030403030204" pitchFamily="34" charset="-78"/>
            </a:rPr>
            <a:pPr algn="ctr"/>
            <a:t>60%</a:t>
          </a:fld>
          <a:endParaRPr lang="en-US" sz="1100">
            <a:solidFill>
              <a:srgbClr val="FFF9F3"/>
            </a:solidFill>
            <a:latin typeface="Dubai" panose="020B0503030403030204" pitchFamily="34" charset="-78"/>
            <a:cs typeface="Dubai" panose="020B0503030403030204" pitchFamily="34" charset="-78"/>
          </a:endParaRPr>
        </a:p>
      </xdr:txBody>
    </xdr:sp>
    <xdr:clientData/>
  </xdr:twoCellAnchor>
  <xdr:twoCellAnchor editAs="oneCell">
    <xdr:from>
      <xdr:col>0</xdr:col>
      <xdr:colOff>80995</xdr:colOff>
      <xdr:row>0</xdr:row>
      <xdr:rowOff>46652</xdr:rowOff>
    </xdr:from>
    <xdr:to>
      <xdr:col>0</xdr:col>
      <xdr:colOff>539052</xdr:colOff>
      <xdr:row>2</xdr:row>
      <xdr:rowOff>136552</xdr:rowOff>
    </xdr:to>
    <xdr:pic>
      <xdr:nvPicPr>
        <xdr:cNvPr id="16" name="Picture 15">
          <a:extLst>
            <a:ext uri="{FF2B5EF4-FFF2-40B4-BE49-F238E27FC236}">
              <a16:creationId xmlns:a16="http://schemas.microsoft.com/office/drawing/2014/main" id="{DDD67E5F-0BF9-46B3-A2F1-28F739D557FC}"/>
            </a:ext>
          </a:extLst>
        </xdr:cNvPr>
        <xdr:cNvPicPr>
          <a:picLocks noChangeAspect="1"/>
        </xdr:cNvPicPr>
      </xdr:nvPicPr>
      <xdr:blipFill>
        <a:blip xmlns:r="http://schemas.openxmlformats.org/officeDocument/2006/relationships" r:embed="rId1"/>
        <a:stretch>
          <a:fillRect/>
        </a:stretch>
      </xdr:blipFill>
      <xdr:spPr>
        <a:xfrm>
          <a:off x="80995" y="46652"/>
          <a:ext cx="458057" cy="455660"/>
        </a:xfrm>
        <a:prstGeom prst="rect">
          <a:avLst/>
        </a:prstGeom>
      </xdr:spPr>
    </xdr:pic>
    <xdr:clientData/>
  </xdr:twoCellAnchor>
  <xdr:twoCellAnchor>
    <xdr:from>
      <xdr:col>0</xdr:col>
      <xdr:colOff>450272</xdr:colOff>
      <xdr:row>7</xdr:row>
      <xdr:rowOff>173182</xdr:rowOff>
    </xdr:from>
    <xdr:to>
      <xdr:col>2</xdr:col>
      <xdr:colOff>597477</xdr:colOff>
      <xdr:row>10</xdr:row>
      <xdr:rowOff>116898</xdr:rowOff>
    </xdr:to>
    <xdr:sp macro="" textlink="">
      <xdr:nvSpPr>
        <xdr:cNvPr id="17" name="TextBox 16">
          <a:extLst>
            <a:ext uri="{FF2B5EF4-FFF2-40B4-BE49-F238E27FC236}">
              <a16:creationId xmlns:a16="http://schemas.microsoft.com/office/drawing/2014/main" id="{37271D4F-809D-4C1E-B6C6-B52006D1E2FB}"/>
            </a:ext>
          </a:extLst>
        </xdr:cNvPr>
        <xdr:cNvSpPr txBox="1"/>
      </xdr:nvSpPr>
      <xdr:spPr>
        <a:xfrm>
          <a:off x="450272" y="1453342"/>
          <a:ext cx="1488325" cy="492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Overview</a:t>
          </a:r>
        </a:p>
      </xdr:txBody>
    </xdr:sp>
    <xdr:clientData/>
  </xdr:twoCellAnchor>
  <xdr:twoCellAnchor>
    <xdr:from>
      <xdr:col>0</xdr:col>
      <xdr:colOff>333375</xdr:colOff>
      <xdr:row>12</xdr:row>
      <xdr:rowOff>179676</xdr:rowOff>
    </xdr:from>
    <xdr:to>
      <xdr:col>2</xdr:col>
      <xdr:colOff>597477</xdr:colOff>
      <xdr:row>15</xdr:row>
      <xdr:rowOff>71437</xdr:rowOff>
    </xdr:to>
    <xdr:sp macro="" textlink="">
      <xdr:nvSpPr>
        <xdr:cNvPr id="18" name="TextBox 17">
          <a:extLst>
            <a:ext uri="{FF2B5EF4-FFF2-40B4-BE49-F238E27FC236}">
              <a16:creationId xmlns:a16="http://schemas.microsoft.com/office/drawing/2014/main" id="{E2626E6C-E4BC-4BDB-A991-EAEC1CF5F1B1}"/>
            </a:ext>
          </a:extLst>
        </xdr:cNvPr>
        <xdr:cNvSpPr txBox="1"/>
      </xdr:nvSpPr>
      <xdr:spPr>
        <a:xfrm>
          <a:off x="333375" y="2374236"/>
          <a:ext cx="1605222" cy="440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Performance</a:t>
          </a:r>
        </a:p>
      </xdr:txBody>
    </xdr:sp>
    <xdr:clientData/>
  </xdr:twoCellAnchor>
  <xdr:twoCellAnchor>
    <xdr:from>
      <xdr:col>0</xdr:col>
      <xdr:colOff>333375</xdr:colOff>
      <xdr:row>17</xdr:row>
      <xdr:rowOff>134216</xdr:rowOff>
    </xdr:from>
    <xdr:to>
      <xdr:col>2</xdr:col>
      <xdr:colOff>597477</xdr:colOff>
      <xdr:row>20</xdr:row>
      <xdr:rowOff>25977</xdr:rowOff>
    </xdr:to>
    <xdr:sp macro="" textlink="">
      <xdr:nvSpPr>
        <xdr:cNvPr id="19" name="TextBox 18">
          <a:extLst>
            <a:ext uri="{FF2B5EF4-FFF2-40B4-BE49-F238E27FC236}">
              <a16:creationId xmlns:a16="http://schemas.microsoft.com/office/drawing/2014/main" id="{A5A06220-484A-4984-A5EE-1F7A39727A5C}"/>
            </a:ext>
          </a:extLst>
        </xdr:cNvPr>
        <xdr:cNvSpPr txBox="1"/>
      </xdr:nvSpPr>
      <xdr:spPr>
        <a:xfrm>
          <a:off x="333375" y="3243176"/>
          <a:ext cx="1605222" cy="440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Customer</a:t>
          </a:r>
        </a:p>
      </xdr:txBody>
    </xdr:sp>
    <xdr:clientData/>
  </xdr:twoCellAnchor>
  <xdr:twoCellAnchor editAs="oneCell">
    <xdr:from>
      <xdr:col>1</xdr:col>
      <xdr:colOff>53340</xdr:colOff>
      <xdr:row>45</xdr:row>
      <xdr:rowOff>88900</xdr:rowOff>
    </xdr:from>
    <xdr:to>
      <xdr:col>1</xdr:col>
      <xdr:colOff>499476</xdr:colOff>
      <xdr:row>47</xdr:row>
      <xdr:rowOff>171161</xdr:rowOff>
    </xdr:to>
    <xdr:pic>
      <xdr:nvPicPr>
        <xdr:cNvPr id="20" name="Picture 19">
          <a:hlinkClick xmlns:r="http://schemas.openxmlformats.org/officeDocument/2006/relationships" r:id="rId2"/>
          <a:extLst>
            <a:ext uri="{FF2B5EF4-FFF2-40B4-BE49-F238E27FC236}">
              <a16:creationId xmlns:a16="http://schemas.microsoft.com/office/drawing/2014/main" id="{5DFAA49E-D37E-4E32-93BB-43F299B66C8A}"/>
            </a:ext>
          </a:extLst>
        </xdr:cNvPr>
        <xdr:cNvPicPr>
          <a:picLocks noChangeAspect="1"/>
        </xdr:cNvPicPr>
      </xdr:nvPicPr>
      <xdr:blipFill>
        <a:blip xmlns:r="http://schemas.openxmlformats.org/officeDocument/2006/relationships" r:embed="rId3"/>
        <a:stretch>
          <a:fillRect/>
        </a:stretch>
      </xdr:blipFill>
      <xdr:spPr>
        <a:xfrm>
          <a:off x="723900" y="8318500"/>
          <a:ext cx="446136" cy="448021"/>
        </a:xfrm>
        <a:prstGeom prst="rect">
          <a:avLst/>
        </a:prstGeom>
      </xdr:spPr>
    </xdr:pic>
    <xdr:clientData/>
  </xdr:twoCellAnchor>
  <xdr:twoCellAnchor editAs="oneCell">
    <xdr:from>
      <xdr:col>0</xdr:col>
      <xdr:colOff>178618</xdr:colOff>
      <xdr:row>8</xdr:row>
      <xdr:rowOff>34072</xdr:rowOff>
    </xdr:from>
    <xdr:to>
      <xdr:col>0</xdr:col>
      <xdr:colOff>513121</xdr:colOff>
      <xdr:row>10</xdr:row>
      <xdr:rowOff>4893</xdr:rowOff>
    </xdr:to>
    <xdr:pic>
      <xdr:nvPicPr>
        <xdr:cNvPr id="21" name="Picture 20">
          <a:extLst>
            <a:ext uri="{FF2B5EF4-FFF2-40B4-BE49-F238E27FC236}">
              <a16:creationId xmlns:a16="http://schemas.microsoft.com/office/drawing/2014/main" id="{B9C98754-0952-401B-BAD4-57BD85D7FB99}"/>
            </a:ext>
          </a:extLst>
        </xdr:cNvPr>
        <xdr:cNvPicPr>
          <a:picLocks noChangeAspect="1"/>
        </xdr:cNvPicPr>
      </xdr:nvPicPr>
      <xdr:blipFill>
        <a:blip xmlns:r="http://schemas.openxmlformats.org/officeDocument/2006/relationships" r:embed="rId4"/>
        <a:stretch>
          <a:fillRect/>
        </a:stretch>
      </xdr:blipFill>
      <xdr:spPr>
        <a:xfrm>
          <a:off x="178618" y="1497112"/>
          <a:ext cx="334503" cy="336581"/>
        </a:xfrm>
        <a:prstGeom prst="rect">
          <a:avLst/>
        </a:prstGeom>
      </xdr:spPr>
    </xdr:pic>
    <xdr:clientData/>
  </xdr:twoCellAnchor>
  <xdr:twoCellAnchor editAs="oneCell">
    <xdr:from>
      <xdr:col>0</xdr:col>
      <xdr:colOff>181277</xdr:colOff>
      <xdr:row>13</xdr:row>
      <xdr:rowOff>30306</xdr:rowOff>
    </xdr:from>
    <xdr:to>
      <xdr:col>0</xdr:col>
      <xdr:colOff>510461</xdr:colOff>
      <xdr:row>14</xdr:row>
      <xdr:rowOff>177649</xdr:rowOff>
    </xdr:to>
    <xdr:pic>
      <xdr:nvPicPr>
        <xdr:cNvPr id="22" name="Picture 21">
          <a:extLst>
            <a:ext uri="{FF2B5EF4-FFF2-40B4-BE49-F238E27FC236}">
              <a16:creationId xmlns:a16="http://schemas.microsoft.com/office/drawing/2014/main" id="{7E3FA8C8-A09C-4776-B07A-74D04CE508B8}"/>
            </a:ext>
          </a:extLst>
        </xdr:cNvPr>
        <xdr:cNvPicPr>
          <a:picLocks noChangeAspect="1"/>
        </xdr:cNvPicPr>
      </xdr:nvPicPr>
      <xdr:blipFill>
        <a:blip xmlns:r="http://schemas.openxmlformats.org/officeDocument/2006/relationships" r:embed="rId5"/>
        <a:stretch>
          <a:fillRect/>
        </a:stretch>
      </xdr:blipFill>
      <xdr:spPr>
        <a:xfrm>
          <a:off x="181277" y="2407746"/>
          <a:ext cx="329184" cy="330223"/>
        </a:xfrm>
        <a:prstGeom prst="rect">
          <a:avLst/>
        </a:prstGeom>
      </xdr:spPr>
    </xdr:pic>
    <xdr:clientData/>
  </xdr:twoCellAnchor>
  <xdr:twoCellAnchor editAs="oneCell">
    <xdr:from>
      <xdr:col>0</xdr:col>
      <xdr:colOff>181277</xdr:colOff>
      <xdr:row>18</xdr:row>
      <xdr:rowOff>6425</xdr:rowOff>
    </xdr:from>
    <xdr:to>
      <xdr:col>0</xdr:col>
      <xdr:colOff>510461</xdr:colOff>
      <xdr:row>19</xdr:row>
      <xdr:rowOff>153768</xdr:rowOff>
    </xdr:to>
    <xdr:pic>
      <xdr:nvPicPr>
        <xdr:cNvPr id="23" name="Picture 22">
          <a:extLst>
            <a:ext uri="{FF2B5EF4-FFF2-40B4-BE49-F238E27FC236}">
              <a16:creationId xmlns:a16="http://schemas.microsoft.com/office/drawing/2014/main" id="{1DECF79F-67C3-45D9-BAB7-3FE1F5DF3B70}"/>
            </a:ext>
          </a:extLst>
        </xdr:cNvPr>
        <xdr:cNvPicPr>
          <a:picLocks noChangeAspect="1"/>
        </xdr:cNvPicPr>
      </xdr:nvPicPr>
      <xdr:blipFill>
        <a:blip xmlns:r="http://schemas.openxmlformats.org/officeDocument/2006/relationships" r:embed="rId6"/>
        <a:stretch>
          <a:fillRect/>
        </a:stretch>
      </xdr:blipFill>
      <xdr:spPr>
        <a:xfrm>
          <a:off x="181277" y="3298265"/>
          <a:ext cx="329184" cy="330223"/>
        </a:xfrm>
        <a:prstGeom prst="rect">
          <a:avLst/>
        </a:prstGeom>
      </xdr:spPr>
    </xdr:pic>
    <xdr:clientData/>
  </xdr:twoCellAnchor>
  <xdr:twoCellAnchor>
    <xdr:from>
      <xdr:col>0</xdr:col>
      <xdr:colOff>0</xdr:colOff>
      <xdr:row>17</xdr:row>
      <xdr:rowOff>66040</xdr:rowOff>
    </xdr:from>
    <xdr:to>
      <xdr:col>2</xdr:col>
      <xdr:colOff>640080</xdr:colOff>
      <xdr:row>20</xdr:row>
      <xdr:rowOff>88900</xdr:rowOff>
    </xdr:to>
    <xdr:sp macro="" textlink="">
      <xdr:nvSpPr>
        <xdr:cNvPr id="26" name="Rectangle: Rounded Corners 25">
          <a:extLst>
            <a:ext uri="{FF2B5EF4-FFF2-40B4-BE49-F238E27FC236}">
              <a16:creationId xmlns:a16="http://schemas.microsoft.com/office/drawing/2014/main" id="{F74A7DC0-94E8-4C9C-A7F4-A32FC4B427DF}"/>
            </a:ext>
          </a:extLst>
        </xdr:cNvPr>
        <xdr:cNvSpPr/>
      </xdr:nvSpPr>
      <xdr:spPr>
        <a:xfrm>
          <a:off x="0" y="3175000"/>
          <a:ext cx="1981200" cy="571500"/>
        </a:xfrm>
        <a:prstGeom prst="roundRect">
          <a:avLst/>
        </a:prstGeom>
        <a:solidFill>
          <a:srgbClr val="57496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83820</xdr:colOff>
      <xdr:row>0</xdr:row>
      <xdr:rowOff>101600</xdr:rowOff>
    </xdr:from>
    <xdr:to>
      <xdr:col>23</xdr:col>
      <xdr:colOff>629920</xdr:colOff>
      <xdr:row>5</xdr:row>
      <xdr:rowOff>0</xdr:rowOff>
    </xdr:to>
    <xdr:sp macro="" textlink="">
      <xdr:nvSpPr>
        <xdr:cNvPr id="27" name="Rectangle: Rounded Corners 26">
          <a:extLst>
            <a:ext uri="{FF2B5EF4-FFF2-40B4-BE49-F238E27FC236}">
              <a16:creationId xmlns:a16="http://schemas.microsoft.com/office/drawing/2014/main" id="{81019849-5086-4D20-B163-6198795B0E66}"/>
            </a:ext>
          </a:extLst>
        </xdr:cNvPr>
        <xdr:cNvSpPr/>
      </xdr:nvSpPr>
      <xdr:spPr>
        <a:xfrm>
          <a:off x="2095500" y="101600"/>
          <a:ext cx="13957300" cy="812800"/>
        </a:xfrm>
        <a:prstGeom prst="roundRect">
          <a:avLst>
            <a:gd name="adj" fmla="val 27462"/>
          </a:avLst>
        </a:prstGeom>
        <a:gradFill flip="none" rotWithShape="1">
          <a:gsLst>
            <a:gs pos="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F9F3"/>
              </a:solidFill>
              <a:latin typeface="Dubai" panose="020B0503030403030204" pitchFamily="34" charset="-78"/>
              <a:cs typeface="Dubai" panose="020B0503030403030204" pitchFamily="34" charset="-78"/>
            </a:rPr>
            <a:t>Customers Dashboard</a:t>
          </a:r>
        </a:p>
      </xdr:txBody>
    </xdr:sp>
    <xdr:clientData/>
  </xdr:twoCellAnchor>
  <xdr:twoCellAnchor editAs="oneCell">
    <xdr:from>
      <xdr:col>0</xdr:col>
      <xdr:colOff>80995</xdr:colOff>
      <xdr:row>0</xdr:row>
      <xdr:rowOff>46652</xdr:rowOff>
    </xdr:from>
    <xdr:to>
      <xdr:col>0</xdr:col>
      <xdr:colOff>539052</xdr:colOff>
      <xdr:row>2</xdr:row>
      <xdr:rowOff>136552</xdr:rowOff>
    </xdr:to>
    <xdr:pic>
      <xdr:nvPicPr>
        <xdr:cNvPr id="39" name="Picture 38">
          <a:extLst>
            <a:ext uri="{FF2B5EF4-FFF2-40B4-BE49-F238E27FC236}">
              <a16:creationId xmlns:a16="http://schemas.microsoft.com/office/drawing/2014/main" id="{1934157F-8ADC-4B77-A549-160ADFFBCCE7}"/>
            </a:ext>
          </a:extLst>
        </xdr:cNvPr>
        <xdr:cNvPicPr>
          <a:picLocks noChangeAspect="1"/>
        </xdr:cNvPicPr>
      </xdr:nvPicPr>
      <xdr:blipFill>
        <a:blip xmlns:r="http://schemas.openxmlformats.org/officeDocument/2006/relationships" r:embed="rId1"/>
        <a:stretch>
          <a:fillRect/>
        </a:stretch>
      </xdr:blipFill>
      <xdr:spPr>
        <a:xfrm>
          <a:off x="80995" y="46652"/>
          <a:ext cx="458057" cy="455660"/>
        </a:xfrm>
        <a:prstGeom prst="rect">
          <a:avLst/>
        </a:prstGeom>
      </xdr:spPr>
    </xdr:pic>
    <xdr:clientData/>
  </xdr:twoCellAnchor>
  <xdr:twoCellAnchor>
    <xdr:from>
      <xdr:col>0</xdr:col>
      <xdr:colOff>177800</xdr:colOff>
      <xdr:row>7</xdr:row>
      <xdr:rowOff>167640</xdr:rowOff>
    </xdr:from>
    <xdr:to>
      <xdr:col>2</xdr:col>
      <xdr:colOff>596659</xdr:colOff>
      <xdr:row>10</xdr:row>
      <xdr:rowOff>111356</xdr:rowOff>
    </xdr:to>
    <xdr:grpSp>
      <xdr:nvGrpSpPr>
        <xdr:cNvPr id="41" name="Group 40">
          <a:extLst>
            <a:ext uri="{FF2B5EF4-FFF2-40B4-BE49-F238E27FC236}">
              <a16:creationId xmlns:a16="http://schemas.microsoft.com/office/drawing/2014/main" id="{9F2136AC-ECA0-47A3-A561-AC0EC655EA76}"/>
            </a:ext>
          </a:extLst>
        </xdr:cNvPr>
        <xdr:cNvGrpSpPr/>
      </xdr:nvGrpSpPr>
      <xdr:grpSpPr>
        <a:xfrm>
          <a:off x="177800" y="1463040"/>
          <a:ext cx="1757802" cy="498887"/>
          <a:chOff x="178618" y="1456043"/>
          <a:chExt cx="1759593" cy="493513"/>
        </a:xfrm>
      </xdr:grpSpPr>
      <xdr:sp macro="" textlink="">
        <xdr:nvSpPr>
          <xdr:cNvPr id="42" name="TextBox 41">
            <a:hlinkClick xmlns:r="http://schemas.openxmlformats.org/officeDocument/2006/relationships" r:id="rId7"/>
            <a:extLst>
              <a:ext uri="{FF2B5EF4-FFF2-40B4-BE49-F238E27FC236}">
                <a16:creationId xmlns:a16="http://schemas.microsoft.com/office/drawing/2014/main" id="{4E432CA0-6162-D4D8-E6DE-BF6D9693C344}"/>
              </a:ext>
            </a:extLst>
          </xdr:cNvPr>
          <xdr:cNvSpPr txBox="1"/>
        </xdr:nvSpPr>
        <xdr:spPr>
          <a:xfrm>
            <a:off x="450272" y="1456043"/>
            <a:ext cx="1487939" cy="493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Overview</a:t>
            </a:r>
          </a:p>
        </xdr:txBody>
      </xdr:sp>
      <xdr:pic>
        <xdr:nvPicPr>
          <xdr:cNvPr id="43" name="Picture 42">
            <a:extLst>
              <a:ext uri="{FF2B5EF4-FFF2-40B4-BE49-F238E27FC236}">
                <a16:creationId xmlns:a16="http://schemas.microsoft.com/office/drawing/2014/main" id="{75DDB33D-56E5-8501-5D82-5EABA508F2DF}"/>
              </a:ext>
            </a:extLst>
          </xdr:cNvPr>
          <xdr:cNvPicPr>
            <a:picLocks noChangeAspect="1"/>
          </xdr:cNvPicPr>
        </xdr:nvPicPr>
        <xdr:blipFill>
          <a:blip xmlns:r="http://schemas.openxmlformats.org/officeDocument/2006/relationships" r:embed="rId4"/>
          <a:stretch>
            <a:fillRect/>
          </a:stretch>
        </xdr:blipFill>
        <xdr:spPr>
          <a:xfrm>
            <a:off x="178618" y="1500199"/>
            <a:ext cx="334503" cy="337352"/>
          </a:xfrm>
          <a:prstGeom prst="rect">
            <a:avLst/>
          </a:prstGeom>
        </xdr:spPr>
      </xdr:pic>
    </xdr:grpSp>
    <xdr:clientData/>
  </xdr:twoCellAnchor>
  <xdr:twoCellAnchor>
    <xdr:from>
      <xdr:col>0</xdr:col>
      <xdr:colOff>177800</xdr:colOff>
      <xdr:row>12</xdr:row>
      <xdr:rowOff>180340</xdr:rowOff>
    </xdr:from>
    <xdr:to>
      <xdr:col>2</xdr:col>
      <xdr:colOff>594000</xdr:colOff>
      <xdr:row>15</xdr:row>
      <xdr:rowOff>72101</xdr:rowOff>
    </xdr:to>
    <xdr:grpSp>
      <xdr:nvGrpSpPr>
        <xdr:cNvPr id="44" name="Group 43">
          <a:extLst>
            <a:ext uri="{FF2B5EF4-FFF2-40B4-BE49-F238E27FC236}">
              <a16:creationId xmlns:a16="http://schemas.microsoft.com/office/drawing/2014/main" id="{CE07E6D0-F115-4AEF-A1EA-0BE0714D200F}"/>
            </a:ext>
          </a:extLst>
        </xdr:cNvPr>
        <xdr:cNvGrpSpPr/>
      </xdr:nvGrpSpPr>
      <xdr:grpSpPr>
        <a:xfrm>
          <a:off x="177800" y="2401026"/>
          <a:ext cx="1755143" cy="446932"/>
          <a:chOff x="181277" y="2378866"/>
          <a:chExt cx="1756934" cy="441558"/>
        </a:xfrm>
      </xdr:grpSpPr>
      <xdr:sp macro="" textlink="">
        <xdr:nvSpPr>
          <xdr:cNvPr id="45" name="TextBox 44">
            <a:hlinkClick xmlns:r="http://schemas.openxmlformats.org/officeDocument/2006/relationships" r:id="rId8"/>
            <a:extLst>
              <a:ext uri="{FF2B5EF4-FFF2-40B4-BE49-F238E27FC236}">
                <a16:creationId xmlns:a16="http://schemas.microsoft.com/office/drawing/2014/main" id="{44A5BCC4-9AFF-5A5F-53A4-BE4D2AC5745A}"/>
              </a:ext>
            </a:extLst>
          </xdr:cNvPr>
          <xdr:cNvSpPr txBox="1"/>
        </xdr:nvSpPr>
        <xdr:spPr>
          <a:xfrm>
            <a:off x="333375" y="2378866"/>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Performance</a:t>
            </a:r>
          </a:p>
        </xdr:txBody>
      </xdr:sp>
      <xdr:pic>
        <xdr:nvPicPr>
          <xdr:cNvPr id="46" name="Picture 45">
            <a:extLst>
              <a:ext uri="{FF2B5EF4-FFF2-40B4-BE49-F238E27FC236}">
                <a16:creationId xmlns:a16="http://schemas.microsoft.com/office/drawing/2014/main" id="{5279FBC3-2543-1FCF-AB18-5243BBFF5C19}"/>
              </a:ext>
            </a:extLst>
          </xdr:cNvPr>
          <xdr:cNvPicPr>
            <a:picLocks noChangeAspect="1"/>
          </xdr:cNvPicPr>
        </xdr:nvPicPr>
        <xdr:blipFill>
          <a:blip xmlns:r="http://schemas.openxmlformats.org/officeDocument/2006/relationships" r:embed="rId5"/>
          <a:stretch>
            <a:fillRect/>
          </a:stretch>
        </xdr:blipFill>
        <xdr:spPr>
          <a:xfrm>
            <a:off x="181277" y="2412762"/>
            <a:ext cx="329184" cy="330609"/>
          </a:xfrm>
          <a:prstGeom prst="rect">
            <a:avLst/>
          </a:prstGeom>
        </xdr:spPr>
      </xdr:pic>
    </xdr:grpSp>
    <xdr:clientData/>
  </xdr:twoCellAnchor>
  <xdr:twoCellAnchor>
    <xdr:from>
      <xdr:col>0</xdr:col>
      <xdr:colOff>177800</xdr:colOff>
      <xdr:row>17</xdr:row>
      <xdr:rowOff>129540</xdr:rowOff>
    </xdr:from>
    <xdr:to>
      <xdr:col>2</xdr:col>
      <xdr:colOff>594000</xdr:colOff>
      <xdr:row>20</xdr:row>
      <xdr:rowOff>21301</xdr:rowOff>
    </xdr:to>
    <xdr:grpSp>
      <xdr:nvGrpSpPr>
        <xdr:cNvPr id="47" name="Group 46">
          <a:extLst>
            <a:ext uri="{FF2B5EF4-FFF2-40B4-BE49-F238E27FC236}">
              <a16:creationId xmlns:a16="http://schemas.microsoft.com/office/drawing/2014/main" id="{32685338-D7F7-4F35-9E58-A89B1AF90AAB}"/>
            </a:ext>
          </a:extLst>
        </xdr:cNvPr>
        <xdr:cNvGrpSpPr/>
      </xdr:nvGrpSpPr>
      <xdr:grpSpPr>
        <a:xfrm>
          <a:off x="177800" y="3275511"/>
          <a:ext cx="1755143" cy="446933"/>
          <a:chOff x="181277" y="3249735"/>
          <a:chExt cx="1756934" cy="441558"/>
        </a:xfrm>
      </xdr:grpSpPr>
      <xdr:sp macro="" textlink="">
        <xdr:nvSpPr>
          <xdr:cNvPr id="48" name="TextBox 47">
            <a:hlinkClick xmlns:r="http://schemas.openxmlformats.org/officeDocument/2006/relationships" r:id="rId9"/>
            <a:extLst>
              <a:ext uri="{FF2B5EF4-FFF2-40B4-BE49-F238E27FC236}">
                <a16:creationId xmlns:a16="http://schemas.microsoft.com/office/drawing/2014/main" id="{2A9B194D-1D68-8D3E-C0B7-D8ED4D7A759D}"/>
              </a:ext>
            </a:extLst>
          </xdr:cNvPr>
          <xdr:cNvSpPr txBox="1"/>
        </xdr:nvSpPr>
        <xdr:spPr>
          <a:xfrm>
            <a:off x="333375" y="3249735"/>
            <a:ext cx="1604836" cy="441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F9F3"/>
                </a:solidFill>
                <a:latin typeface="+mn-lt"/>
                <a:ea typeface="+mn-ea"/>
                <a:cs typeface="+mn-cs"/>
              </a:rPr>
              <a:t>Customer</a:t>
            </a:r>
          </a:p>
        </xdr:txBody>
      </xdr:sp>
      <xdr:pic>
        <xdr:nvPicPr>
          <xdr:cNvPr id="49" name="Picture 48">
            <a:extLst>
              <a:ext uri="{FF2B5EF4-FFF2-40B4-BE49-F238E27FC236}">
                <a16:creationId xmlns:a16="http://schemas.microsoft.com/office/drawing/2014/main" id="{95D54C62-D36E-DA6C-386D-8D549D1F7A20}"/>
              </a:ext>
            </a:extLst>
          </xdr:cNvPr>
          <xdr:cNvPicPr>
            <a:picLocks noChangeAspect="1"/>
          </xdr:cNvPicPr>
        </xdr:nvPicPr>
        <xdr:blipFill>
          <a:blip xmlns:r="http://schemas.openxmlformats.org/officeDocument/2006/relationships" r:embed="rId6"/>
          <a:stretch>
            <a:fillRect/>
          </a:stretch>
        </xdr:blipFill>
        <xdr:spPr>
          <a:xfrm>
            <a:off x="181277" y="3305210"/>
            <a:ext cx="329184" cy="330609"/>
          </a:xfrm>
          <a:prstGeom prst="rect">
            <a:avLst/>
          </a:prstGeom>
        </xdr:spPr>
      </xdr:pic>
    </xdr:grpSp>
    <xdr:clientData/>
  </xdr:twoCellAnchor>
  <xdr:twoCellAnchor editAs="oneCell">
    <xdr:from>
      <xdr:col>9</xdr:col>
      <xdr:colOff>511810</xdr:colOff>
      <xdr:row>1</xdr:row>
      <xdr:rowOff>52070</xdr:rowOff>
    </xdr:from>
    <xdr:to>
      <xdr:col>10</xdr:col>
      <xdr:colOff>400270</xdr:colOff>
      <xdr:row>4</xdr:row>
      <xdr:rowOff>53800</xdr:rowOff>
    </xdr:to>
    <xdr:pic>
      <xdr:nvPicPr>
        <xdr:cNvPr id="51" name="Picture 50">
          <a:extLst>
            <a:ext uri="{FF2B5EF4-FFF2-40B4-BE49-F238E27FC236}">
              <a16:creationId xmlns:a16="http://schemas.microsoft.com/office/drawing/2014/main" id="{1A3143EC-AAFD-DD2A-8130-497B30EAAE1F}"/>
            </a:ext>
          </a:extLst>
        </xdr:cNvPr>
        <xdr:cNvPicPr>
          <a:picLocks noChangeAspect="1"/>
        </xdr:cNvPicPr>
      </xdr:nvPicPr>
      <xdr:blipFill>
        <a:blip xmlns:r="http://schemas.openxmlformats.org/officeDocument/2006/relationships" r:embed="rId6"/>
        <a:stretch>
          <a:fillRect/>
        </a:stretch>
      </xdr:blipFill>
      <xdr:spPr>
        <a:xfrm>
          <a:off x="6546850" y="234950"/>
          <a:ext cx="559020" cy="550370"/>
        </a:xfrm>
        <a:prstGeom prst="rect">
          <a:avLst/>
        </a:prstGeom>
      </xdr:spPr>
    </xdr:pic>
    <xdr:clientData/>
  </xdr:twoCellAnchor>
  <xdr:twoCellAnchor>
    <xdr:from>
      <xdr:col>3</xdr:col>
      <xdr:colOff>134619</xdr:colOff>
      <xdr:row>12</xdr:row>
      <xdr:rowOff>180339</xdr:rowOff>
    </xdr:from>
    <xdr:to>
      <xdr:col>11</xdr:col>
      <xdr:colOff>459739</xdr:colOff>
      <xdr:row>30</xdr:row>
      <xdr:rowOff>25399</xdr:rowOff>
    </xdr:to>
    <xdr:graphicFrame macro="">
      <xdr:nvGraphicFramePr>
        <xdr:cNvPr id="52" name="Chart 51">
          <a:extLst>
            <a:ext uri="{FF2B5EF4-FFF2-40B4-BE49-F238E27FC236}">
              <a16:creationId xmlns:a16="http://schemas.microsoft.com/office/drawing/2014/main" id="{7402FAE0-A4D9-4F1F-B8C0-52D6ACFEC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83820</xdr:colOff>
      <xdr:row>31</xdr:row>
      <xdr:rowOff>71120</xdr:rowOff>
    </xdr:from>
    <xdr:to>
      <xdr:col>20</xdr:col>
      <xdr:colOff>444500</xdr:colOff>
      <xdr:row>49</xdr:row>
      <xdr:rowOff>5080</xdr:rowOff>
    </xdr:to>
    <xdr:sp macro="" textlink="">
      <xdr:nvSpPr>
        <xdr:cNvPr id="54" name="Rectangle: Rounded Corners 53">
          <a:extLst>
            <a:ext uri="{FF2B5EF4-FFF2-40B4-BE49-F238E27FC236}">
              <a16:creationId xmlns:a16="http://schemas.microsoft.com/office/drawing/2014/main" id="{68F3E798-C393-482A-F494-1899C22CE104}"/>
            </a:ext>
          </a:extLst>
        </xdr:cNvPr>
        <xdr:cNvSpPr/>
      </xdr:nvSpPr>
      <xdr:spPr>
        <a:xfrm>
          <a:off x="2095500" y="5740400"/>
          <a:ext cx="11760200" cy="3225800"/>
        </a:xfrm>
        <a:prstGeom prst="roundRect">
          <a:avLst>
            <a:gd name="adj" fmla="val 10751"/>
          </a:avLst>
        </a:prstGeom>
        <a:gradFill flip="none" rotWithShape="1">
          <a:gsLst>
            <a:gs pos="10000">
              <a:srgbClr val="574964"/>
            </a:gs>
            <a:gs pos="100000">
              <a:srgbClr val="A59CA9"/>
            </a:gs>
            <a:gs pos="100000">
              <a:srgbClr val="BDABAB">
                <a:tint val="23500"/>
                <a:satMod val="160000"/>
              </a:srgbClr>
            </a:gs>
          </a:gsLst>
          <a:lin ang="5400000" scaled="1"/>
          <a:tileRect/>
        </a:gradFill>
        <a:ln>
          <a:noFill/>
        </a:ln>
        <a:effectLst>
          <a:outerShdw blurRad="50800" dist="381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134619</xdr:colOff>
      <xdr:row>31</xdr:row>
      <xdr:rowOff>121919</xdr:rowOff>
    </xdr:from>
    <xdr:to>
      <xdr:col>20</xdr:col>
      <xdr:colOff>393699</xdr:colOff>
      <xdr:row>48</xdr:row>
      <xdr:rowOff>137159</xdr:rowOff>
    </xdr:to>
    <xdr:graphicFrame macro="">
      <xdr:nvGraphicFramePr>
        <xdr:cNvPr id="55" name="Chart 54">
          <a:extLst>
            <a:ext uri="{FF2B5EF4-FFF2-40B4-BE49-F238E27FC236}">
              <a16:creationId xmlns:a16="http://schemas.microsoft.com/office/drawing/2014/main" id="{E01D4FE8-F32C-4766-89FA-D0AEED244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68580</xdr:colOff>
      <xdr:row>12</xdr:row>
      <xdr:rowOff>180340</xdr:rowOff>
    </xdr:from>
    <xdr:to>
      <xdr:col>20</xdr:col>
      <xdr:colOff>393700</xdr:colOff>
      <xdr:row>30</xdr:row>
      <xdr:rowOff>25400</xdr:rowOff>
    </xdr:to>
    <xdr:graphicFrame macro="">
      <xdr:nvGraphicFramePr>
        <xdr:cNvPr id="56" name="Chart 55">
          <a:extLst>
            <a:ext uri="{FF2B5EF4-FFF2-40B4-BE49-F238E27FC236}">
              <a16:creationId xmlns:a16="http://schemas.microsoft.com/office/drawing/2014/main" id="{F5EF7A4A-11C7-40A7-A8A0-88623843B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622300</xdr:colOff>
      <xdr:row>5</xdr:row>
      <xdr:rowOff>177800</xdr:rowOff>
    </xdr:from>
    <xdr:to>
      <xdr:col>23</xdr:col>
      <xdr:colOff>629920</xdr:colOff>
      <xdr:row>31</xdr:row>
      <xdr:rowOff>134620</xdr:rowOff>
    </xdr:to>
    <mc:AlternateContent xmlns:mc="http://schemas.openxmlformats.org/markup-compatibility/2006" xmlns:a14="http://schemas.microsoft.com/office/drawing/2010/main">
      <mc:Choice Requires="a14">
        <xdr:graphicFrame macro="">
          <xdr:nvGraphicFramePr>
            <xdr:cNvPr id="57" name="Customer ID">
              <a:extLst>
                <a:ext uri="{FF2B5EF4-FFF2-40B4-BE49-F238E27FC236}">
                  <a16:creationId xmlns:a16="http://schemas.microsoft.com/office/drawing/2014/main" id="{04932CE2-BC74-4B04-B472-98E6164CFB3E}"/>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11671663" y="1092530"/>
              <a:ext cx="1821675" cy="263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taz khamies" refreshedDate="46041.204638310184" createdVersion="8" refreshedVersion="8" minRefreshableVersion="3" recordCount="1000" xr:uid="{3FA88B08-770A-40C5-B721-3F8D74CF1273}">
  <cacheSource type="worksheet">
    <worksheetSource name="calls"/>
  </cacheSource>
  <cacheFields count="16">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5"/>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City" numFmtId="0">
      <sharedItems count="3">
        <s v="Cincinnati"/>
        <s v="Columbus"/>
        <s v="Cleveland"/>
      </sharedItems>
    </cacheField>
    <cacheField name="Age" numFmtId="0">
      <sharedItems containsSemiMixedTypes="0" containsString="0" containsNumber="1" containsInteger="1" minValue="22" maxValue="43" count="13">
        <n v="26"/>
        <n v="36"/>
        <n v="37"/>
        <n v="38"/>
        <n v="30"/>
        <n v="22"/>
        <n v="31"/>
        <n v="25"/>
        <n v="23"/>
        <n v="43"/>
        <n v="28"/>
        <n v="41"/>
        <n v="42"/>
      </sharedItems>
    </cacheField>
    <cacheField name="Gender" numFmtId="0">
      <sharedItems/>
    </cacheField>
    <cacheField name="Days (Date of Call)" numFmtId="0" databaseField="0">
      <fieldGroup base="4">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Date of Call)" numFmtId="0" databaseField="0">
      <fieldGroup base="4">
        <rangePr groupBy="months" startDate="2023-01-01T00:00:00" endDate="2024-01-01T00:00:00"/>
        <groupItems count="14">
          <s v="&lt;01-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1685523014"/>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taz khamies" refreshedDate="46042.049123032404" createdVersion="8" refreshedVersion="8" minRefreshableVersion="3" recordCount="15" xr:uid="{FC953FE2-E29C-4C8F-A374-9EF5EF0DE2AE}">
  <cacheSource type="worksheet">
    <worksheetSource name="customers"/>
  </cacheSource>
  <cacheFields count="4">
    <cacheField name="Customer ID" numFmtId="0">
      <sharedItems count="15">
        <s v="C0001"/>
        <s v="C0002"/>
        <s v="C0003"/>
        <s v="C0004"/>
        <s v="C0005"/>
        <s v="C0006"/>
        <s v="C0007"/>
        <s v="C0008"/>
        <s v="C0009"/>
        <s v="C0010"/>
        <s v="C0011"/>
        <s v="C0012"/>
        <s v="C0013"/>
        <s v="C0014"/>
        <s v="C0015"/>
      </sharedItems>
    </cacheField>
    <cacheField name="Gender" numFmtId="9">
      <sharedItems count="2">
        <s v="Male"/>
        <s v="Female"/>
      </sharedItems>
    </cacheField>
    <cacheField name="Age" numFmtId="0">
      <sharedItems containsSemiMixedTypes="0" containsString="0" containsNumber="1" containsInteger="1" minValue="22" maxValue="43"/>
    </cacheField>
    <cacheField name="City" numFmtId="0">
      <sharedItems count="3">
        <s v="Columbus"/>
        <s v="Cleveland"/>
        <s v="Cincinnati"/>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x v="0"/>
    <n v="2023"/>
    <x v="0"/>
    <x v="0"/>
    <x v="0"/>
    <x v="0"/>
    <x v="0"/>
    <s v="Male"/>
  </r>
  <r>
    <x v="1"/>
    <x v="1"/>
    <x v="1"/>
    <x v="0"/>
    <x v="0"/>
    <n v="135"/>
    <x v="1"/>
    <n v="2023"/>
    <x v="0"/>
    <x v="0"/>
    <x v="1"/>
    <x v="0"/>
    <x v="1"/>
    <s v="Male"/>
  </r>
  <r>
    <x v="2"/>
    <x v="2"/>
    <x v="2"/>
    <x v="1"/>
    <x v="0"/>
    <n v="66"/>
    <x v="2"/>
    <n v="2023"/>
    <x v="0"/>
    <x v="0"/>
    <x v="0"/>
    <x v="1"/>
    <x v="2"/>
    <s v="Male"/>
  </r>
  <r>
    <x v="3"/>
    <x v="3"/>
    <x v="1"/>
    <x v="1"/>
    <x v="0"/>
    <n v="22"/>
    <x v="1"/>
    <n v="2023"/>
    <x v="0"/>
    <x v="0"/>
    <x v="1"/>
    <x v="1"/>
    <x v="3"/>
    <s v="Female"/>
  </r>
  <r>
    <x v="4"/>
    <x v="4"/>
    <x v="3"/>
    <x v="2"/>
    <x v="1"/>
    <n v="31"/>
    <x v="3"/>
    <n v="2023"/>
    <x v="1"/>
    <x v="1"/>
    <x v="1"/>
    <x v="0"/>
    <x v="4"/>
    <s v="Female"/>
  </r>
  <r>
    <x v="5"/>
    <x v="4"/>
    <x v="4"/>
    <x v="1"/>
    <x v="2"/>
    <n v="135"/>
    <x v="4"/>
    <n v="2023"/>
    <x v="2"/>
    <x v="2"/>
    <x v="0"/>
    <x v="0"/>
    <x v="4"/>
    <s v="Female"/>
  </r>
  <r>
    <x v="6"/>
    <x v="5"/>
    <x v="5"/>
    <x v="0"/>
    <x v="2"/>
    <n v="60"/>
    <x v="2"/>
    <n v="2023"/>
    <x v="2"/>
    <x v="0"/>
    <x v="0"/>
    <x v="2"/>
    <x v="5"/>
    <s v="Female"/>
  </r>
  <r>
    <x v="7"/>
    <x v="0"/>
    <x v="6"/>
    <x v="3"/>
    <x v="2"/>
    <n v="148"/>
    <x v="5"/>
    <n v="2023"/>
    <x v="2"/>
    <x v="0"/>
    <x v="2"/>
    <x v="0"/>
    <x v="0"/>
    <s v="Male"/>
  </r>
  <r>
    <x v="8"/>
    <x v="2"/>
    <x v="7"/>
    <x v="1"/>
    <x v="2"/>
    <n v="135"/>
    <x v="6"/>
    <n v="2023"/>
    <x v="2"/>
    <x v="2"/>
    <x v="2"/>
    <x v="1"/>
    <x v="2"/>
    <s v="Male"/>
  </r>
  <r>
    <x v="9"/>
    <x v="6"/>
    <x v="8"/>
    <x v="4"/>
    <x v="2"/>
    <n v="105"/>
    <x v="1"/>
    <n v="2023"/>
    <x v="2"/>
    <x v="2"/>
    <x v="1"/>
    <x v="2"/>
    <x v="4"/>
    <s v="Female"/>
  </r>
  <r>
    <x v="10"/>
    <x v="4"/>
    <x v="9"/>
    <x v="1"/>
    <x v="2"/>
    <n v="69"/>
    <x v="0"/>
    <n v="2023"/>
    <x v="2"/>
    <x v="0"/>
    <x v="0"/>
    <x v="0"/>
    <x v="4"/>
    <s v="Female"/>
  </r>
  <r>
    <x v="11"/>
    <x v="7"/>
    <x v="10"/>
    <x v="0"/>
    <x v="2"/>
    <n v="46"/>
    <x v="7"/>
    <n v="2023"/>
    <x v="2"/>
    <x v="1"/>
    <x v="1"/>
    <x v="2"/>
    <x v="2"/>
    <s v="Female"/>
  </r>
  <r>
    <x v="12"/>
    <x v="8"/>
    <x v="11"/>
    <x v="1"/>
    <x v="3"/>
    <n v="108"/>
    <x v="8"/>
    <n v="2023"/>
    <x v="3"/>
    <x v="0"/>
    <x v="2"/>
    <x v="2"/>
    <x v="6"/>
    <s v="Male"/>
  </r>
  <r>
    <x v="13"/>
    <x v="6"/>
    <x v="12"/>
    <x v="1"/>
    <x v="3"/>
    <n v="96"/>
    <x v="9"/>
    <n v="2023"/>
    <x v="3"/>
    <x v="1"/>
    <x v="2"/>
    <x v="2"/>
    <x v="4"/>
    <s v="Female"/>
  </r>
  <r>
    <x v="14"/>
    <x v="7"/>
    <x v="13"/>
    <x v="2"/>
    <x v="3"/>
    <n v="68"/>
    <x v="0"/>
    <n v="2023"/>
    <x v="3"/>
    <x v="2"/>
    <x v="0"/>
    <x v="2"/>
    <x v="2"/>
    <s v="Female"/>
  </r>
  <r>
    <x v="15"/>
    <x v="6"/>
    <x v="14"/>
    <x v="0"/>
    <x v="4"/>
    <n v="24"/>
    <x v="4"/>
    <n v="2023"/>
    <x v="4"/>
    <x v="1"/>
    <x v="0"/>
    <x v="2"/>
    <x v="4"/>
    <s v="Female"/>
  </r>
  <r>
    <x v="16"/>
    <x v="6"/>
    <x v="15"/>
    <x v="2"/>
    <x v="4"/>
    <n v="195"/>
    <x v="10"/>
    <n v="2023"/>
    <x v="4"/>
    <x v="0"/>
    <x v="2"/>
    <x v="2"/>
    <x v="4"/>
    <s v="Female"/>
  </r>
  <r>
    <x v="17"/>
    <x v="9"/>
    <x v="16"/>
    <x v="4"/>
    <x v="4"/>
    <n v="28"/>
    <x v="11"/>
    <n v="2023"/>
    <x v="4"/>
    <x v="3"/>
    <x v="2"/>
    <x v="1"/>
    <x v="7"/>
    <s v="Female"/>
  </r>
  <r>
    <x v="18"/>
    <x v="5"/>
    <x v="17"/>
    <x v="1"/>
    <x v="4"/>
    <n v="170"/>
    <x v="12"/>
    <n v="2023"/>
    <x v="4"/>
    <x v="2"/>
    <x v="2"/>
    <x v="2"/>
    <x v="5"/>
    <s v="Female"/>
  </r>
  <r>
    <x v="19"/>
    <x v="10"/>
    <x v="13"/>
    <x v="0"/>
    <x v="5"/>
    <n v="30"/>
    <x v="5"/>
    <n v="2023"/>
    <x v="5"/>
    <x v="2"/>
    <x v="2"/>
    <x v="1"/>
    <x v="8"/>
    <s v="Male"/>
  </r>
  <r>
    <x v="20"/>
    <x v="1"/>
    <x v="3"/>
    <x v="0"/>
    <x v="5"/>
    <n v="72"/>
    <x v="13"/>
    <n v="2023"/>
    <x v="5"/>
    <x v="1"/>
    <x v="0"/>
    <x v="0"/>
    <x v="1"/>
    <s v="Male"/>
  </r>
  <r>
    <x v="21"/>
    <x v="1"/>
    <x v="18"/>
    <x v="3"/>
    <x v="6"/>
    <n v="92"/>
    <x v="0"/>
    <n v="2023"/>
    <x v="6"/>
    <x v="2"/>
    <x v="0"/>
    <x v="0"/>
    <x v="1"/>
    <s v="Male"/>
  </r>
  <r>
    <x v="22"/>
    <x v="0"/>
    <x v="19"/>
    <x v="3"/>
    <x v="7"/>
    <n v="165"/>
    <x v="14"/>
    <n v="2023"/>
    <x v="0"/>
    <x v="0"/>
    <x v="0"/>
    <x v="0"/>
    <x v="0"/>
    <s v="Male"/>
  </r>
  <r>
    <x v="23"/>
    <x v="11"/>
    <x v="20"/>
    <x v="1"/>
    <x v="7"/>
    <n v="140"/>
    <x v="15"/>
    <n v="2023"/>
    <x v="0"/>
    <x v="2"/>
    <x v="3"/>
    <x v="2"/>
    <x v="9"/>
    <s v="Female"/>
  </r>
  <r>
    <x v="24"/>
    <x v="6"/>
    <x v="17"/>
    <x v="2"/>
    <x v="7"/>
    <n v="111"/>
    <x v="16"/>
    <n v="2023"/>
    <x v="0"/>
    <x v="2"/>
    <x v="1"/>
    <x v="2"/>
    <x v="4"/>
    <s v="Female"/>
  </r>
  <r>
    <x v="25"/>
    <x v="12"/>
    <x v="16"/>
    <x v="0"/>
    <x v="8"/>
    <n v="63"/>
    <x v="17"/>
    <n v="2023"/>
    <x v="1"/>
    <x v="3"/>
    <x v="2"/>
    <x v="0"/>
    <x v="10"/>
    <s v="Female"/>
  </r>
  <r>
    <x v="26"/>
    <x v="8"/>
    <x v="21"/>
    <x v="0"/>
    <x v="8"/>
    <n v="80"/>
    <x v="18"/>
    <n v="2023"/>
    <x v="1"/>
    <x v="0"/>
    <x v="2"/>
    <x v="2"/>
    <x v="6"/>
    <s v="Male"/>
  </r>
  <r>
    <x v="27"/>
    <x v="4"/>
    <x v="22"/>
    <x v="0"/>
    <x v="9"/>
    <n v="50"/>
    <x v="19"/>
    <n v="2023"/>
    <x v="2"/>
    <x v="0"/>
    <x v="0"/>
    <x v="0"/>
    <x v="4"/>
    <s v="Female"/>
  </r>
  <r>
    <x v="28"/>
    <x v="9"/>
    <x v="7"/>
    <x v="3"/>
    <x v="9"/>
    <n v="123"/>
    <x v="1"/>
    <n v="2023"/>
    <x v="2"/>
    <x v="2"/>
    <x v="1"/>
    <x v="1"/>
    <x v="7"/>
    <s v="Female"/>
  </r>
  <r>
    <x v="29"/>
    <x v="11"/>
    <x v="23"/>
    <x v="2"/>
    <x v="9"/>
    <n v="110"/>
    <x v="4"/>
    <n v="2023"/>
    <x v="2"/>
    <x v="1"/>
    <x v="0"/>
    <x v="2"/>
    <x v="9"/>
    <s v="Female"/>
  </r>
  <r>
    <x v="30"/>
    <x v="9"/>
    <x v="24"/>
    <x v="0"/>
    <x v="9"/>
    <n v="140"/>
    <x v="18"/>
    <n v="2023"/>
    <x v="2"/>
    <x v="0"/>
    <x v="2"/>
    <x v="1"/>
    <x v="7"/>
    <s v="Female"/>
  </r>
  <r>
    <x v="31"/>
    <x v="4"/>
    <x v="25"/>
    <x v="0"/>
    <x v="10"/>
    <n v="42"/>
    <x v="20"/>
    <n v="2023"/>
    <x v="4"/>
    <x v="0"/>
    <x v="2"/>
    <x v="0"/>
    <x v="4"/>
    <s v="Female"/>
  </r>
  <r>
    <x v="32"/>
    <x v="4"/>
    <x v="26"/>
    <x v="2"/>
    <x v="10"/>
    <n v="170"/>
    <x v="13"/>
    <n v="2023"/>
    <x v="4"/>
    <x v="3"/>
    <x v="0"/>
    <x v="0"/>
    <x v="4"/>
    <s v="Female"/>
  </r>
  <r>
    <x v="33"/>
    <x v="10"/>
    <x v="27"/>
    <x v="1"/>
    <x v="11"/>
    <n v="105"/>
    <x v="13"/>
    <n v="2023"/>
    <x v="6"/>
    <x v="1"/>
    <x v="0"/>
    <x v="1"/>
    <x v="8"/>
    <s v="Male"/>
  </r>
  <r>
    <x v="34"/>
    <x v="13"/>
    <x v="28"/>
    <x v="0"/>
    <x v="12"/>
    <n v="125"/>
    <x v="4"/>
    <n v="2023"/>
    <x v="0"/>
    <x v="0"/>
    <x v="0"/>
    <x v="1"/>
    <x v="11"/>
    <s v="Male"/>
  </r>
  <r>
    <x v="35"/>
    <x v="9"/>
    <x v="29"/>
    <x v="4"/>
    <x v="12"/>
    <n v="26"/>
    <x v="21"/>
    <n v="2023"/>
    <x v="0"/>
    <x v="0"/>
    <x v="3"/>
    <x v="1"/>
    <x v="7"/>
    <s v="Female"/>
  </r>
  <r>
    <x v="36"/>
    <x v="11"/>
    <x v="30"/>
    <x v="4"/>
    <x v="13"/>
    <n v="120"/>
    <x v="22"/>
    <n v="2023"/>
    <x v="1"/>
    <x v="0"/>
    <x v="1"/>
    <x v="2"/>
    <x v="9"/>
    <s v="Female"/>
  </r>
  <r>
    <x v="37"/>
    <x v="1"/>
    <x v="31"/>
    <x v="1"/>
    <x v="13"/>
    <n v="132"/>
    <x v="23"/>
    <n v="2023"/>
    <x v="1"/>
    <x v="0"/>
    <x v="1"/>
    <x v="0"/>
    <x v="1"/>
    <s v="Male"/>
  </r>
  <r>
    <x v="38"/>
    <x v="11"/>
    <x v="22"/>
    <x v="3"/>
    <x v="14"/>
    <n v="86"/>
    <x v="21"/>
    <n v="2023"/>
    <x v="2"/>
    <x v="0"/>
    <x v="3"/>
    <x v="2"/>
    <x v="9"/>
    <s v="Female"/>
  </r>
  <r>
    <x v="39"/>
    <x v="9"/>
    <x v="32"/>
    <x v="0"/>
    <x v="14"/>
    <n v="108"/>
    <x v="13"/>
    <n v="2023"/>
    <x v="2"/>
    <x v="0"/>
    <x v="0"/>
    <x v="1"/>
    <x v="7"/>
    <s v="Female"/>
  </r>
  <r>
    <x v="40"/>
    <x v="1"/>
    <x v="33"/>
    <x v="3"/>
    <x v="14"/>
    <n v="96"/>
    <x v="2"/>
    <n v="2023"/>
    <x v="2"/>
    <x v="0"/>
    <x v="0"/>
    <x v="0"/>
    <x v="1"/>
    <s v="Male"/>
  </r>
  <r>
    <x v="41"/>
    <x v="6"/>
    <x v="28"/>
    <x v="1"/>
    <x v="15"/>
    <n v="80"/>
    <x v="2"/>
    <n v="2023"/>
    <x v="3"/>
    <x v="0"/>
    <x v="0"/>
    <x v="2"/>
    <x v="4"/>
    <s v="Female"/>
  </r>
  <r>
    <x v="42"/>
    <x v="9"/>
    <x v="34"/>
    <x v="0"/>
    <x v="15"/>
    <n v="155"/>
    <x v="17"/>
    <n v="2023"/>
    <x v="3"/>
    <x v="0"/>
    <x v="2"/>
    <x v="1"/>
    <x v="7"/>
    <s v="Female"/>
  </r>
  <r>
    <x v="43"/>
    <x v="7"/>
    <x v="35"/>
    <x v="4"/>
    <x v="15"/>
    <n v="168"/>
    <x v="17"/>
    <n v="2023"/>
    <x v="3"/>
    <x v="1"/>
    <x v="2"/>
    <x v="2"/>
    <x v="2"/>
    <s v="Female"/>
  </r>
  <r>
    <x v="44"/>
    <x v="13"/>
    <x v="28"/>
    <x v="2"/>
    <x v="15"/>
    <n v="56"/>
    <x v="6"/>
    <n v="2023"/>
    <x v="3"/>
    <x v="0"/>
    <x v="2"/>
    <x v="1"/>
    <x v="11"/>
    <s v="Male"/>
  </r>
  <r>
    <x v="45"/>
    <x v="4"/>
    <x v="36"/>
    <x v="4"/>
    <x v="16"/>
    <n v="32"/>
    <x v="5"/>
    <n v="2023"/>
    <x v="4"/>
    <x v="3"/>
    <x v="2"/>
    <x v="0"/>
    <x v="4"/>
    <s v="Female"/>
  </r>
  <r>
    <x v="46"/>
    <x v="3"/>
    <x v="37"/>
    <x v="2"/>
    <x v="16"/>
    <n v="78"/>
    <x v="5"/>
    <n v="2023"/>
    <x v="4"/>
    <x v="1"/>
    <x v="2"/>
    <x v="1"/>
    <x v="3"/>
    <s v="Female"/>
  </r>
  <r>
    <x v="47"/>
    <x v="1"/>
    <x v="38"/>
    <x v="0"/>
    <x v="16"/>
    <n v="86"/>
    <x v="9"/>
    <n v="2023"/>
    <x v="4"/>
    <x v="0"/>
    <x v="2"/>
    <x v="0"/>
    <x v="1"/>
    <s v="Male"/>
  </r>
  <r>
    <x v="48"/>
    <x v="0"/>
    <x v="31"/>
    <x v="1"/>
    <x v="17"/>
    <n v="64"/>
    <x v="11"/>
    <n v="2023"/>
    <x v="5"/>
    <x v="0"/>
    <x v="2"/>
    <x v="0"/>
    <x v="0"/>
    <s v="Male"/>
  </r>
  <r>
    <x v="49"/>
    <x v="12"/>
    <x v="39"/>
    <x v="1"/>
    <x v="17"/>
    <n v="96"/>
    <x v="6"/>
    <n v="2023"/>
    <x v="5"/>
    <x v="2"/>
    <x v="2"/>
    <x v="0"/>
    <x v="10"/>
    <s v="Female"/>
  </r>
  <r>
    <x v="50"/>
    <x v="8"/>
    <x v="40"/>
    <x v="2"/>
    <x v="17"/>
    <n v="72"/>
    <x v="12"/>
    <n v="2023"/>
    <x v="5"/>
    <x v="1"/>
    <x v="2"/>
    <x v="2"/>
    <x v="6"/>
    <s v="Male"/>
  </r>
  <r>
    <x v="51"/>
    <x v="7"/>
    <x v="41"/>
    <x v="3"/>
    <x v="18"/>
    <n v="135"/>
    <x v="11"/>
    <n v="2023"/>
    <x v="6"/>
    <x v="0"/>
    <x v="2"/>
    <x v="2"/>
    <x v="2"/>
    <s v="Female"/>
  </r>
  <r>
    <x v="52"/>
    <x v="7"/>
    <x v="42"/>
    <x v="4"/>
    <x v="18"/>
    <n v="140"/>
    <x v="14"/>
    <n v="2023"/>
    <x v="6"/>
    <x v="0"/>
    <x v="0"/>
    <x v="2"/>
    <x v="2"/>
    <s v="Female"/>
  </r>
  <r>
    <x v="53"/>
    <x v="14"/>
    <x v="43"/>
    <x v="2"/>
    <x v="18"/>
    <n v="69"/>
    <x v="14"/>
    <n v="2023"/>
    <x v="6"/>
    <x v="1"/>
    <x v="0"/>
    <x v="2"/>
    <x v="12"/>
    <s v="Female"/>
  </r>
  <r>
    <x v="54"/>
    <x v="7"/>
    <x v="44"/>
    <x v="0"/>
    <x v="19"/>
    <n v="136"/>
    <x v="19"/>
    <n v="2023"/>
    <x v="0"/>
    <x v="2"/>
    <x v="0"/>
    <x v="2"/>
    <x v="2"/>
    <s v="Female"/>
  </r>
  <r>
    <x v="55"/>
    <x v="12"/>
    <x v="45"/>
    <x v="2"/>
    <x v="19"/>
    <n v="28"/>
    <x v="14"/>
    <n v="2023"/>
    <x v="0"/>
    <x v="0"/>
    <x v="0"/>
    <x v="0"/>
    <x v="10"/>
    <s v="Female"/>
  </r>
  <r>
    <x v="56"/>
    <x v="14"/>
    <x v="20"/>
    <x v="1"/>
    <x v="20"/>
    <n v="135"/>
    <x v="16"/>
    <n v="2023"/>
    <x v="1"/>
    <x v="2"/>
    <x v="1"/>
    <x v="2"/>
    <x v="12"/>
    <s v="Female"/>
  </r>
  <r>
    <x v="57"/>
    <x v="11"/>
    <x v="46"/>
    <x v="1"/>
    <x v="20"/>
    <n v="126"/>
    <x v="24"/>
    <n v="2023"/>
    <x v="1"/>
    <x v="0"/>
    <x v="3"/>
    <x v="2"/>
    <x v="9"/>
    <s v="Female"/>
  </r>
  <r>
    <x v="58"/>
    <x v="4"/>
    <x v="47"/>
    <x v="0"/>
    <x v="20"/>
    <n v="160"/>
    <x v="12"/>
    <n v="2023"/>
    <x v="1"/>
    <x v="0"/>
    <x v="2"/>
    <x v="0"/>
    <x v="4"/>
    <s v="Female"/>
  </r>
  <r>
    <x v="59"/>
    <x v="14"/>
    <x v="48"/>
    <x v="1"/>
    <x v="21"/>
    <n v="48"/>
    <x v="19"/>
    <n v="2023"/>
    <x v="2"/>
    <x v="0"/>
    <x v="0"/>
    <x v="2"/>
    <x v="12"/>
    <s v="Female"/>
  </r>
  <r>
    <x v="60"/>
    <x v="7"/>
    <x v="33"/>
    <x v="2"/>
    <x v="21"/>
    <n v="66"/>
    <x v="9"/>
    <n v="2023"/>
    <x v="2"/>
    <x v="0"/>
    <x v="2"/>
    <x v="2"/>
    <x v="2"/>
    <s v="Female"/>
  </r>
  <r>
    <x v="61"/>
    <x v="6"/>
    <x v="49"/>
    <x v="3"/>
    <x v="21"/>
    <n v="126"/>
    <x v="25"/>
    <n v="2023"/>
    <x v="2"/>
    <x v="1"/>
    <x v="1"/>
    <x v="2"/>
    <x v="4"/>
    <s v="Female"/>
  </r>
  <r>
    <x v="62"/>
    <x v="11"/>
    <x v="50"/>
    <x v="4"/>
    <x v="21"/>
    <n v="96"/>
    <x v="13"/>
    <n v="2023"/>
    <x v="2"/>
    <x v="0"/>
    <x v="0"/>
    <x v="2"/>
    <x v="9"/>
    <s v="Female"/>
  </r>
  <r>
    <x v="63"/>
    <x v="7"/>
    <x v="51"/>
    <x v="0"/>
    <x v="22"/>
    <n v="90"/>
    <x v="11"/>
    <n v="2023"/>
    <x v="3"/>
    <x v="0"/>
    <x v="2"/>
    <x v="2"/>
    <x v="2"/>
    <s v="Female"/>
  </r>
  <r>
    <x v="64"/>
    <x v="13"/>
    <x v="52"/>
    <x v="3"/>
    <x v="22"/>
    <n v="105"/>
    <x v="5"/>
    <n v="2023"/>
    <x v="3"/>
    <x v="1"/>
    <x v="2"/>
    <x v="1"/>
    <x v="11"/>
    <s v="Male"/>
  </r>
  <r>
    <x v="65"/>
    <x v="1"/>
    <x v="53"/>
    <x v="1"/>
    <x v="23"/>
    <n v="40"/>
    <x v="11"/>
    <n v="2023"/>
    <x v="4"/>
    <x v="0"/>
    <x v="2"/>
    <x v="0"/>
    <x v="1"/>
    <s v="Male"/>
  </r>
  <r>
    <x v="66"/>
    <x v="11"/>
    <x v="54"/>
    <x v="0"/>
    <x v="23"/>
    <n v="60"/>
    <x v="26"/>
    <n v="2023"/>
    <x v="4"/>
    <x v="2"/>
    <x v="3"/>
    <x v="2"/>
    <x v="9"/>
    <s v="Female"/>
  </r>
  <r>
    <x v="67"/>
    <x v="6"/>
    <x v="55"/>
    <x v="3"/>
    <x v="24"/>
    <n v="215"/>
    <x v="17"/>
    <n v="2023"/>
    <x v="5"/>
    <x v="1"/>
    <x v="2"/>
    <x v="2"/>
    <x v="4"/>
    <s v="Female"/>
  </r>
  <r>
    <x v="68"/>
    <x v="2"/>
    <x v="22"/>
    <x v="2"/>
    <x v="24"/>
    <n v="156"/>
    <x v="27"/>
    <n v="2023"/>
    <x v="5"/>
    <x v="0"/>
    <x v="1"/>
    <x v="1"/>
    <x v="2"/>
    <s v="Male"/>
  </r>
  <r>
    <x v="69"/>
    <x v="10"/>
    <x v="56"/>
    <x v="4"/>
    <x v="24"/>
    <n v="54"/>
    <x v="28"/>
    <n v="2023"/>
    <x v="5"/>
    <x v="1"/>
    <x v="4"/>
    <x v="1"/>
    <x v="8"/>
    <s v="Male"/>
  </r>
  <r>
    <x v="70"/>
    <x v="10"/>
    <x v="57"/>
    <x v="4"/>
    <x v="25"/>
    <n v="160"/>
    <x v="10"/>
    <n v="2023"/>
    <x v="6"/>
    <x v="1"/>
    <x v="2"/>
    <x v="1"/>
    <x v="8"/>
    <s v="Male"/>
  </r>
  <r>
    <x v="71"/>
    <x v="13"/>
    <x v="58"/>
    <x v="2"/>
    <x v="25"/>
    <n v="80"/>
    <x v="4"/>
    <n v="2023"/>
    <x v="6"/>
    <x v="0"/>
    <x v="0"/>
    <x v="1"/>
    <x v="11"/>
    <s v="Male"/>
  </r>
  <r>
    <x v="72"/>
    <x v="7"/>
    <x v="19"/>
    <x v="2"/>
    <x v="25"/>
    <n v="168"/>
    <x v="27"/>
    <n v="2023"/>
    <x v="6"/>
    <x v="0"/>
    <x v="1"/>
    <x v="2"/>
    <x v="2"/>
    <s v="Female"/>
  </r>
  <r>
    <x v="73"/>
    <x v="14"/>
    <x v="59"/>
    <x v="4"/>
    <x v="26"/>
    <n v="42"/>
    <x v="27"/>
    <n v="2023"/>
    <x v="1"/>
    <x v="0"/>
    <x v="1"/>
    <x v="2"/>
    <x v="12"/>
    <s v="Female"/>
  </r>
  <r>
    <x v="74"/>
    <x v="2"/>
    <x v="60"/>
    <x v="2"/>
    <x v="26"/>
    <n v="205"/>
    <x v="6"/>
    <n v="2023"/>
    <x v="1"/>
    <x v="2"/>
    <x v="2"/>
    <x v="1"/>
    <x v="2"/>
    <s v="Male"/>
  </r>
  <r>
    <x v="75"/>
    <x v="4"/>
    <x v="53"/>
    <x v="4"/>
    <x v="26"/>
    <n v="108"/>
    <x v="16"/>
    <n v="2023"/>
    <x v="1"/>
    <x v="0"/>
    <x v="1"/>
    <x v="0"/>
    <x v="4"/>
    <s v="Female"/>
  </r>
  <r>
    <x v="76"/>
    <x v="6"/>
    <x v="61"/>
    <x v="1"/>
    <x v="26"/>
    <n v="78"/>
    <x v="29"/>
    <n v="2023"/>
    <x v="1"/>
    <x v="1"/>
    <x v="3"/>
    <x v="2"/>
    <x v="4"/>
    <s v="Female"/>
  </r>
  <r>
    <x v="77"/>
    <x v="1"/>
    <x v="62"/>
    <x v="4"/>
    <x v="26"/>
    <n v="23"/>
    <x v="0"/>
    <n v="2023"/>
    <x v="1"/>
    <x v="2"/>
    <x v="0"/>
    <x v="0"/>
    <x v="1"/>
    <s v="Male"/>
  </r>
  <r>
    <x v="78"/>
    <x v="4"/>
    <x v="63"/>
    <x v="0"/>
    <x v="27"/>
    <n v="99"/>
    <x v="6"/>
    <n v="2023"/>
    <x v="2"/>
    <x v="0"/>
    <x v="2"/>
    <x v="0"/>
    <x v="4"/>
    <s v="Female"/>
  </r>
  <r>
    <x v="79"/>
    <x v="9"/>
    <x v="42"/>
    <x v="4"/>
    <x v="28"/>
    <n v="148"/>
    <x v="14"/>
    <n v="2023"/>
    <x v="3"/>
    <x v="0"/>
    <x v="0"/>
    <x v="1"/>
    <x v="7"/>
    <s v="Female"/>
  </r>
  <r>
    <x v="80"/>
    <x v="6"/>
    <x v="64"/>
    <x v="3"/>
    <x v="28"/>
    <n v="34"/>
    <x v="20"/>
    <n v="2023"/>
    <x v="3"/>
    <x v="2"/>
    <x v="2"/>
    <x v="2"/>
    <x v="4"/>
    <s v="Female"/>
  </r>
  <r>
    <x v="81"/>
    <x v="4"/>
    <x v="65"/>
    <x v="4"/>
    <x v="28"/>
    <n v="86"/>
    <x v="4"/>
    <n v="2023"/>
    <x v="3"/>
    <x v="1"/>
    <x v="0"/>
    <x v="0"/>
    <x v="4"/>
    <s v="Female"/>
  </r>
  <r>
    <x v="82"/>
    <x v="14"/>
    <x v="66"/>
    <x v="0"/>
    <x v="28"/>
    <n v="105"/>
    <x v="16"/>
    <n v="2023"/>
    <x v="3"/>
    <x v="0"/>
    <x v="1"/>
    <x v="2"/>
    <x v="12"/>
    <s v="Female"/>
  </r>
  <r>
    <x v="83"/>
    <x v="1"/>
    <x v="67"/>
    <x v="0"/>
    <x v="28"/>
    <n v="62"/>
    <x v="22"/>
    <n v="2023"/>
    <x v="3"/>
    <x v="0"/>
    <x v="1"/>
    <x v="0"/>
    <x v="1"/>
    <s v="Male"/>
  </r>
  <r>
    <x v="84"/>
    <x v="4"/>
    <x v="65"/>
    <x v="3"/>
    <x v="28"/>
    <n v="90"/>
    <x v="17"/>
    <n v="2023"/>
    <x v="3"/>
    <x v="1"/>
    <x v="2"/>
    <x v="0"/>
    <x v="4"/>
    <s v="Female"/>
  </r>
  <r>
    <x v="85"/>
    <x v="3"/>
    <x v="15"/>
    <x v="0"/>
    <x v="29"/>
    <n v="112"/>
    <x v="0"/>
    <n v="2023"/>
    <x v="4"/>
    <x v="0"/>
    <x v="0"/>
    <x v="1"/>
    <x v="3"/>
    <s v="Female"/>
  </r>
  <r>
    <x v="86"/>
    <x v="11"/>
    <x v="41"/>
    <x v="0"/>
    <x v="29"/>
    <n v="135"/>
    <x v="9"/>
    <n v="2023"/>
    <x v="4"/>
    <x v="0"/>
    <x v="2"/>
    <x v="2"/>
    <x v="9"/>
    <s v="Female"/>
  </r>
  <r>
    <x v="87"/>
    <x v="1"/>
    <x v="68"/>
    <x v="1"/>
    <x v="29"/>
    <n v="34"/>
    <x v="15"/>
    <n v="2023"/>
    <x v="4"/>
    <x v="2"/>
    <x v="3"/>
    <x v="0"/>
    <x v="1"/>
    <s v="Male"/>
  </r>
  <r>
    <x v="88"/>
    <x v="14"/>
    <x v="69"/>
    <x v="2"/>
    <x v="29"/>
    <n v="155"/>
    <x v="14"/>
    <n v="2023"/>
    <x v="4"/>
    <x v="0"/>
    <x v="0"/>
    <x v="2"/>
    <x v="12"/>
    <s v="Female"/>
  </r>
  <r>
    <x v="89"/>
    <x v="3"/>
    <x v="70"/>
    <x v="2"/>
    <x v="30"/>
    <n v="124"/>
    <x v="0"/>
    <n v="2023"/>
    <x v="6"/>
    <x v="1"/>
    <x v="0"/>
    <x v="1"/>
    <x v="3"/>
    <s v="Female"/>
  </r>
  <r>
    <x v="90"/>
    <x v="11"/>
    <x v="5"/>
    <x v="0"/>
    <x v="30"/>
    <n v="195"/>
    <x v="17"/>
    <n v="2023"/>
    <x v="6"/>
    <x v="0"/>
    <x v="2"/>
    <x v="2"/>
    <x v="9"/>
    <s v="Female"/>
  </r>
  <r>
    <x v="91"/>
    <x v="13"/>
    <x v="71"/>
    <x v="2"/>
    <x v="31"/>
    <n v="78"/>
    <x v="14"/>
    <n v="2023"/>
    <x v="0"/>
    <x v="2"/>
    <x v="0"/>
    <x v="1"/>
    <x v="11"/>
    <s v="Male"/>
  </r>
  <r>
    <x v="92"/>
    <x v="5"/>
    <x v="10"/>
    <x v="3"/>
    <x v="32"/>
    <n v="35"/>
    <x v="4"/>
    <n v="2023"/>
    <x v="2"/>
    <x v="1"/>
    <x v="0"/>
    <x v="2"/>
    <x v="5"/>
    <s v="Female"/>
  </r>
  <r>
    <x v="93"/>
    <x v="12"/>
    <x v="72"/>
    <x v="1"/>
    <x v="32"/>
    <n v="123"/>
    <x v="19"/>
    <n v="2023"/>
    <x v="2"/>
    <x v="1"/>
    <x v="0"/>
    <x v="0"/>
    <x v="10"/>
    <s v="Female"/>
  </r>
  <r>
    <x v="94"/>
    <x v="2"/>
    <x v="35"/>
    <x v="1"/>
    <x v="32"/>
    <n v="43"/>
    <x v="19"/>
    <n v="2023"/>
    <x v="2"/>
    <x v="1"/>
    <x v="0"/>
    <x v="1"/>
    <x v="2"/>
    <s v="Male"/>
  </r>
  <r>
    <x v="95"/>
    <x v="10"/>
    <x v="73"/>
    <x v="0"/>
    <x v="33"/>
    <n v="69"/>
    <x v="12"/>
    <n v="2023"/>
    <x v="3"/>
    <x v="2"/>
    <x v="2"/>
    <x v="1"/>
    <x v="8"/>
    <s v="Male"/>
  </r>
  <r>
    <x v="96"/>
    <x v="12"/>
    <x v="48"/>
    <x v="1"/>
    <x v="33"/>
    <n v="130"/>
    <x v="13"/>
    <n v="2023"/>
    <x v="3"/>
    <x v="0"/>
    <x v="0"/>
    <x v="0"/>
    <x v="10"/>
    <s v="Female"/>
  </r>
  <r>
    <x v="97"/>
    <x v="0"/>
    <x v="74"/>
    <x v="4"/>
    <x v="33"/>
    <n v="120"/>
    <x v="9"/>
    <n v="2023"/>
    <x v="3"/>
    <x v="0"/>
    <x v="2"/>
    <x v="0"/>
    <x v="0"/>
    <s v="Male"/>
  </r>
  <r>
    <x v="98"/>
    <x v="13"/>
    <x v="64"/>
    <x v="0"/>
    <x v="34"/>
    <n v="84"/>
    <x v="19"/>
    <n v="2023"/>
    <x v="4"/>
    <x v="2"/>
    <x v="0"/>
    <x v="1"/>
    <x v="11"/>
    <s v="Male"/>
  </r>
  <r>
    <x v="99"/>
    <x v="0"/>
    <x v="35"/>
    <x v="4"/>
    <x v="35"/>
    <n v="112"/>
    <x v="14"/>
    <n v="2023"/>
    <x v="5"/>
    <x v="1"/>
    <x v="0"/>
    <x v="0"/>
    <x v="0"/>
    <s v="Male"/>
  </r>
  <r>
    <x v="100"/>
    <x v="7"/>
    <x v="48"/>
    <x v="0"/>
    <x v="35"/>
    <n v="66"/>
    <x v="19"/>
    <n v="2023"/>
    <x v="5"/>
    <x v="0"/>
    <x v="0"/>
    <x v="2"/>
    <x v="2"/>
    <s v="Female"/>
  </r>
  <r>
    <x v="101"/>
    <x v="12"/>
    <x v="37"/>
    <x v="2"/>
    <x v="35"/>
    <n v="172"/>
    <x v="27"/>
    <n v="2023"/>
    <x v="5"/>
    <x v="1"/>
    <x v="1"/>
    <x v="0"/>
    <x v="10"/>
    <s v="Female"/>
  </r>
  <r>
    <x v="102"/>
    <x v="9"/>
    <x v="19"/>
    <x v="3"/>
    <x v="36"/>
    <n v="24"/>
    <x v="12"/>
    <n v="2023"/>
    <x v="6"/>
    <x v="0"/>
    <x v="2"/>
    <x v="1"/>
    <x v="7"/>
    <s v="Female"/>
  </r>
  <r>
    <x v="103"/>
    <x v="3"/>
    <x v="75"/>
    <x v="2"/>
    <x v="37"/>
    <n v="43"/>
    <x v="10"/>
    <n v="2023"/>
    <x v="0"/>
    <x v="0"/>
    <x v="2"/>
    <x v="1"/>
    <x v="3"/>
    <s v="Female"/>
  </r>
  <r>
    <x v="104"/>
    <x v="2"/>
    <x v="67"/>
    <x v="1"/>
    <x v="37"/>
    <n v="23"/>
    <x v="13"/>
    <n v="2023"/>
    <x v="0"/>
    <x v="0"/>
    <x v="0"/>
    <x v="1"/>
    <x v="2"/>
    <s v="Male"/>
  </r>
  <r>
    <x v="105"/>
    <x v="8"/>
    <x v="16"/>
    <x v="4"/>
    <x v="37"/>
    <n v="74"/>
    <x v="8"/>
    <n v="2023"/>
    <x v="0"/>
    <x v="3"/>
    <x v="2"/>
    <x v="2"/>
    <x v="6"/>
    <s v="Male"/>
  </r>
  <r>
    <x v="106"/>
    <x v="1"/>
    <x v="76"/>
    <x v="3"/>
    <x v="38"/>
    <n v="165"/>
    <x v="2"/>
    <n v="2023"/>
    <x v="1"/>
    <x v="1"/>
    <x v="0"/>
    <x v="0"/>
    <x v="1"/>
    <s v="Male"/>
  </r>
  <r>
    <x v="107"/>
    <x v="11"/>
    <x v="65"/>
    <x v="2"/>
    <x v="38"/>
    <n v="34"/>
    <x v="1"/>
    <n v="2023"/>
    <x v="1"/>
    <x v="1"/>
    <x v="1"/>
    <x v="2"/>
    <x v="9"/>
    <s v="Female"/>
  </r>
  <r>
    <x v="108"/>
    <x v="1"/>
    <x v="77"/>
    <x v="4"/>
    <x v="38"/>
    <n v="64"/>
    <x v="7"/>
    <n v="2023"/>
    <x v="1"/>
    <x v="0"/>
    <x v="1"/>
    <x v="0"/>
    <x v="1"/>
    <s v="Male"/>
  </r>
  <r>
    <x v="109"/>
    <x v="2"/>
    <x v="24"/>
    <x v="3"/>
    <x v="39"/>
    <n v="155"/>
    <x v="23"/>
    <n v="2023"/>
    <x v="2"/>
    <x v="0"/>
    <x v="1"/>
    <x v="1"/>
    <x v="2"/>
    <s v="Male"/>
  </r>
  <r>
    <x v="110"/>
    <x v="1"/>
    <x v="48"/>
    <x v="1"/>
    <x v="40"/>
    <n v="120"/>
    <x v="4"/>
    <n v="2023"/>
    <x v="3"/>
    <x v="0"/>
    <x v="0"/>
    <x v="0"/>
    <x v="1"/>
    <s v="Male"/>
  </r>
  <r>
    <x v="111"/>
    <x v="10"/>
    <x v="78"/>
    <x v="4"/>
    <x v="40"/>
    <n v="105"/>
    <x v="6"/>
    <n v="2023"/>
    <x v="3"/>
    <x v="3"/>
    <x v="2"/>
    <x v="1"/>
    <x v="8"/>
    <s v="Male"/>
  </r>
  <r>
    <x v="112"/>
    <x v="4"/>
    <x v="79"/>
    <x v="2"/>
    <x v="40"/>
    <n v="28"/>
    <x v="0"/>
    <n v="2023"/>
    <x v="3"/>
    <x v="3"/>
    <x v="0"/>
    <x v="0"/>
    <x v="4"/>
    <s v="Female"/>
  </r>
  <r>
    <x v="113"/>
    <x v="6"/>
    <x v="18"/>
    <x v="3"/>
    <x v="40"/>
    <n v="100"/>
    <x v="4"/>
    <n v="2023"/>
    <x v="3"/>
    <x v="2"/>
    <x v="0"/>
    <x v="2"/>
    <x v="4"/>
    <s v="Female"/>
  </r>
  <r>
    <x v="114"/>
    <x v="7"/>
    <x v="71"/>
    <x v="2"/>
    <x v="40"/>
    <n v="23"/>
    <x v="6"/>
    <n v="2023"/>
    <x v="3"/>
    <x v="2"/>
    <x v="2"/>
    <x v="2"/>
    <x v="2"/>
    <s v="Female"/>
  </r>
  <r>
    <x v="115"/>
    <x v="9"/>
    <x v="80"/>
    <x v="4"/>
    <x v="41"/>
    <n v="70"/>
    <x v="10"/>
    <n v="2023"/>
    <x v="4"/>
    <x v="3"/>
    <x v="2"/>
    <x v="1"/>
    <x v="7"/>
    <s v="Female"/>
  </r>
  <r>
    <x v="116"/>
    <x v="9"/>
    <x v="81"/>
    <x v="4"/>
    <x v="41"/>
    <n v="37"/>
    <x v="29"/>
    <n v="2023"/>
    <x v="4"/>
    <x v="2"/>
    <x v="3"/>
    <x v="1"/>
    <x v="7"/>
    <s v="Female"/>
  </r>
  <r>
    <x v="117"/>
    <x v="8"/>
    <x v="0"/>
    <x v="0"/>
    <x v="41"/>
    <n v="140"/>
    <x v="6"/>
    <n v="2023"/>
    <x v="4"/>
    <x v="0"/>
    <x v="2"/>
    <x v="2"/>
    <x v="6"/>
    <s v="Male"/>
  </r>
  <r>
    <x v="118"/>
    <x v="0"/>
    <x v="15"/>
    <x v="1"/>
    <x v="41"/>
    <n v="78"/>
    <x v="17"/>
    <n v="2023"/>
    <x v="4"/>
    <x v="0"/>
    <x v="2"/>
    <x v="0"/>
    <x v="0"/>
    <s v="Male"/>
  </r>
  <r>
    <x v="119"/>
    <x v="1"/>
    <x v="29"/>
    <x v="4"/>
    <x v="42"/>
    <n v="21"/>
    <x v="18"/>
    <n v="2023"/>
    <x v="5"/>
    <x v="0"/>
    <x v="2"/>
    <x v="0"/>
    <x v="1"/>
    <s v="Male"/>
  </r>
  <r>
    <x v="120"/>
    <x v="2"/>
    <x v="82"/>
    <x v="0"/>
    <x v="42"/>
    <n v="88"/>
    <x v="12"/>
    <n v="2023"/>
    <x v="5"/>
    <x v="2"/>
    <x v="2"/>
    <x v="1"/>
    <x v="2"/>
    <s v="Male"/>
  </r>
  <r>
    <x v="121"/>
    <x v="5"/>
    <x v="23"/>
    <x v="0"/>
    <x v="43"/>
    <n v="180"/>
    <x v="30"/>
    <n v="2023"/>
    <x v="6"/>
    <x v="1"/>
    <x v="3"/>
    <x v="2"/>
    <x v="5"/>
    <s v="Female"/>
  </r>
  <r>
    <x v="122"/>
    <x v="0"/>
    <x v="2"/>
    <x v="1"/>
    <x v="43"/>
    <n v="22"/>
    <x v="16"/>
    <n v="2023"/>
    <x v="6"/>
    <x v="0"/>
    <x v="1"/>
    <x v="0"/>
    <x v="0"/>
    <s v="Male"/>
  </r>
  <r>
    <x v="123"/>
    <x v="6"/>
    <x v="48"/>
    <x v="1"/>
    <x v="43"/>
    <n v="52"/>
    <x v="4"/>
    <n v="2023"/>
    <x v="6"/>
    <x v="0"/>
    <x v="0"/>
    <x v="2"/>
    <x v="4"/>
    <s v="Female"/>
  </r>
  <r>
    <x v="124"/>
    <x v="11"/>
    <x v="83"/>
    <x v="0"/>
    <x v="44"/>
    <n v="80"/>
    <x v="9"/>
    <n v="2023"/>
    <x v="0"/>
    <x v="0"/>
    <x v="2"/>
    <x v="2"/>
    <x v="9"/>
    <s v="Female"/>
  </r>
  <r>
    <x v="125"/>
    <x v="4"/>
    <x v="59"/>
    <x v="2"/>
    <x v="44"/>
    <n v="54"/>
    <x v="31"/>
    <n v="2023"/>
    <x v="0"/>
    <x v="0"/>
    <x v="5"/>
    <x v="0"/>
    <x v="4"/>
    <s v="Female"/>
  </r>
  <r>
    <x v="126"/>
    <x v="1"/>
    <x v="23"/>
    <x v="2"/>
    <x v="45"/>
    <n v="80"/>
    <x v="10"/>
    <n v="2023"/>
    <x v="1"/>
    <x v="1"/>
    <x v="2"/>
    <x v="0"/>
    <x v="1"/>
    <s v="Male"/>
  </r>
  <r>
    <x v="127"/>
    <x v="11"/>
    <x v="59"/>
    <x v="0"/>
    <x v="46"/>
    <n v="120"/>
    <x v="32"/>
    <n v="2023"/>
    <x v="2"/>
    <x v="0"/>
    <x v="3"/>
    <x v="2"/>
    <x v="9"/>
    <s v="Female"/>
  </r>
  <r>
    <x v="128"/>
    <x v="5"/>
    <x v="49"/>
    <x v="3"/>
    <x v="46"/>
    <n v="150"/>
    <x v="33"/>
    <n v="2023"/>
    <x v="2"/>
    <x v="1"/>
    <x v="5"/>
    <x v="2"/>
    <x v="5"/>
    <s v="Female"/>
  </r>
  <r>
    <x v="129"/>
    <x v="1"/>
    <x v="34"/>
    <x v="0"/>
    <x v="46"/>
    <n v="90"/>
    <x v="12"/>
    <n v="2023"/>
    <x v="2"/>
    <x v="0"/>
    <x v="2"/>
    <x v="0"/>
    <x v="1"/>
    <s v="Male"/>
  </r>
  <r>
    <x v="130"/>
    <x v="13"/>
    <x v="84"/>
    <x v="4"/>
    <x v="47"/>
    <n v="140"/>
    <x v="7"/>
    <n v="2023"/>
    <x v="3"/>
    <x v="0"/>
    <x v="1"/>
    <x v="1"/>
    <x v="11"/>
    <s v="Male"/>
  </r>
  <r>
    <x v="131"/>
    <x v="6"/>
    <x v="85"/>
    <x v="2"/>
    <x v="47"/>
    <n v="22"/>
    <x v="7"/>
    <n v="2023"/>
    <x v="3"/>
    <x v="1"/>
    <x v="1"/>
    <x v="2"/>
    <x v="4"/>
    <s v="Female"/>
  </r>
  <r>
    <x v="132"/>
    <x v="11"/>
    <x v="86"/>
    <x v="3"/>
    <x v="48"/>
    <n v="150"/>
    <x v="17"/>
    <n v="2023"/>
    <x v="4"/>
    <x v="0"/>
    <x v="2"/>
    <x v="2"/>
    <x v="9"/>
    <s v="Female"/>
  </r>
  <r>
    <x v="133"/>
    <x v="14"/>
    <x v="87"/>
    <x v="1"/>
    <x v="49"/>
    <n v="35"/>
    <x v="4"/>
    <n v="2023"/>
    <x v="5"/>
    <x v="1"/>
    <x v="0"/>
    <x v="2"/>
    <x v="12"/>
    <s v="Female"/>
  </r>
  <r>
    <x v="134"/>
    <x v="3"/>
    <x v="88"/>
    <x v="0"/>
    <x v="49"/>
    <n v="200"/>
    <x v="26"/>
    <n v="2023"/>
    <x v="5"/>
    <x v="1"/>
    <x v="3"/>
    <x v="1"/>
    <x v="3"/>
    <s v="Female"/>
  </r>
  <r>
    <x v="135"/>
    <x v="11"/>
    <x v="84"/>
    <x v="4"/>
    <x v="50"/>
    <n v="150"/>
    <x v="19"/>
    <n v="2023"/>
    <x v="6"/>
    <x v="0"/>
    <x v="0"/>
    <x v="2"/>
    <x v="9"/>
    <s v="Female"/>
  </r>
  <r>
    <x v="136"/>
    <x v="9"/>
    <x v="63"/>
    <x v="0"/>
    <x v="50"/>
    <n v="21"/>
    <x v="27"/>
    <n v="2023"/>
    <x v="6"/>
    <x v="0"/>
    <x v="1"/>
    <x v="1"/>
    <x v="7"/>
    <s v="Female"/>
  </r>
  <r>
    <x v="137"/>
    <x v="13"/>
    <x v="89"/>
    <x v="3"/>
    <x v="51"/>
    <n v="46"/>
    <x v="0"/>
    <n v="2023"/>
    <x v="0"/>
    <x v="1"/>
    <x v="0"/>
    <x v="1"/>
    <x v="11"/>
    <s v="Male"/>
  </r>
  <r>
    <x v="138"/>
    <x v="12"/>
    <x v="9"/>
    <x v="2"/>
    <x v="51"/>
    <n v="165"/>
    <x v="34"/>
    <n v="2023"/>
    <x v="0"/>
    <x v="0"/>
    <x v="1"/>
    <x v="0"/>
    <x v="10"/>
    <s v="Female"/>
  </r>
  <r>
    <x v="139"/>
    <x v="10"/>
    <x v="90"/>
    <x v="0"/>
    <x v="51"/>
    <n v="84"/>
    <x v="17"/>
    <n v="2023"/>
    <x v="0"/>
    <x v="0"/>
    <x v="2"/>
    <x v="1"/>
    <x v="8"/>
    <s v="Male"/>
  </r>
  <r>
    <x v="140"/>
    <x v="1"/>
    <x v="91"/>
    <x v="2"/>
    <x v="52"/>
    <n v="102"/>
    <x v="5"/>
    <n v="2023"/>
    <x v="1"/>
    <x v="4"/>
    <x v="2"/>
    <x v="0"/>
    <x v="1"/>
    <s v="Male"/>
  </r>
  <r>
    <x v="141"/>
    <x v="10"/>
    <x v="92"/>
    <x v="0"/>
    <x v="52"/>
    <n v="180"/>
    <x v="4"/>
    <n v="2023"/>
    <x v="1"/>
    <x v="1"/>
    <x v="0"/>
    <x v="1"/>
    <x v="8"/>
    <s v="Male"/>
  </r>
  <r>
    <x v="142"/>
    <x v="9"/>
    <x v="60"/>
    <x v="3"/>
    <x v="53"/>
    <n v="111"/>
    <x v="35"/>
    <n v="2023"/>
    <x v="2"/>
    <x v="2"/>
    <x v="1"/>
    <x v="1"/>
    <x v="7"/>
    <s v="Female"/>
  </r>
  <r>
    <x v="143"/>
    <x v="9"/>
    <x v="51"/>
    <x v="4"/>
    <x v="53"/>
    <n v="104"/>
    <x v="22"/>
    <n v="2023"/>
    <x v="2"/>
    <x v="0"/>
    <x v="1"/>
    <x v="1"/>
    <x v="7"/>
    <s v="Female"/>
  </r>
  <r>
    <x v="144"/>
    <x v="2"/>
    <x v="93"/>
    <x v="2"/>
    <x v="53"/>
    <n v="80"/>
    <x v="27"/>
    <n v="2023"/>
    <x v="2"/>
    <x v="2"/>
    <x v="1"/>
    <x v="1"/>
    <x v="2"/>
    <s v="Male"/>
  </r>
  <r>
    <x v="145"/>
    <x v="4"/>
    <x v="23"/>
    <x v="4"/>
    <x v="54"/>
    <n v="132"/>
    <x v="19"/>
    <n v="2023"/>
    <x v="3"/>
    <x v="1"/>
    <x v="0"/>
    <x v="0"/>
    <x v="4"/>
    <s v="Female"/>
  </r>
  <r>
    <x v="146"/>
    <x v="4"/>
    <x v="31"/>
    <x v="3"/>
    <x v="54"/>
    <n v="170"/>
    <x v="20"/>
    <n v="2023"/>
    <x v="3"/>
    <x v="0"/>
    <x v="2"/>
    <x v="0"/>
    <x v="4"/>
    <s v="Female"/>
  </r>
  <r>
    <x v="147"/>
    <x v="10"/>
    <x v="94"/>
    <x v="1"/>
    <x v="54"/>
    <n v="36"/>
    <x v="11"/>
    <n v="2023"/>
    <x v="3"/>
    <x v="1"/>
    <x v="2"/>
    <x v="1"/>
    <x v="8"/>
    <s v="Male"/>
  </r>
  <r>
    <x v="148"/>
    <x v="8"/>
    <x v="34"/>
    <x v="4"/>
    <x v="54"/>
    <n v="126"/>
    <x v="6"/>
    <n v="2023"/>
    <x v="3"/>
    <x v="0"/>
    <x v="2"/>
    <x v="2"/>
    <x v="6"/>
    <s v="Male"/>
  </r>
  <r>
    <x v="149"/>
    <x v="11"/>
    <x v="72"/>
    <x v="2"/>
    <x v="54"/>
    <n v="215"/>
    <x v="5"/>
    <n v="2023"/>
    <x v="3"/>
    <x v="1"/>
    <x v="2"/>
    <x v="2"/>
    <x v="9"/>
    <s v="Female"/>
  </r>
  <r>
    <x v="150"/>
    <x v="8"/>
    <x v="65"/>
    <x v="3"/>
    <x v="54"/>
    <n v="114"/>
    <x v="23"/>
    <n v="2023"/>
    <x v="3"/>
    <x v="1"/>
    <x v="1"/>
    <x v="2"/>
    <x v="6"/>
    <s v="Male"/>
  </r>
  <r>
    <x v="151"/>
    <x v="8"/>
    <x v="62"/>
    <x v="3"/>
    <x v="54"/>
    <n v="99"/>
    <x v="2"/>
    <n v="2023"/>
    <x v="3"/>
    <x v="2"/>
    <x v="0"/>
    <x v="2"/>
    <x v="6"/>
    <s v="Male"/>
  </r>
  <r>
    <x v="152"/>
    <x v="6"/>
    <x v="59"/>
    <x v="3"/>
    <x v="55"/>
    <n v="23"/>
    <x v="4"/>
    <n v="2023"/>
    <x v="4"/>
    <x v="0"/>
    <x v="0"/>
    <x v="2"/>
    <x v="4"/>
    <s v="Female"/>
  </r>
  <r>
    <x v="153"/>
    <x v="3"/>
    <x v="6"/>
    <x v="4"/>
    <x v="55"/>
    <n v="75"/>
    <x v="34"/>
    <n v="2023"/>
    <x v="4"/>
    <x v="0"/>
    <x v="1"/>
    <x v="1"/>
    <x v="3"/>
    <s v="Female"/>
  </r>
  <r>
    <x v="154"/>
    <x v="8"/>
    <x v="11"/>
    <x v="2"/>
    <x v="55"/>
    <n v="100"/>
    <x v="11"/>
    <n v="2023"/>
    <x v="4"/>
    <x v="0"/>
    <x v="2"/>
    <x v="2"/>
    <x v="6"/>
    <s v="Male"/>
  </r>
  <r>
    <x v="155"/>
    <x v="10"/>
    <x v="32"/>
    <x v="1"/>
    <x v="55"/>
    <n v="108"/>
    <x v="12"/>
    <n v="2023"/>
    <x v="4"/>
    <x v="0"/>
    <x v="2"/>
    <x v="1"/>
    <x v="8"/>
    <s v="Male"/>
  </r>
  <r>
    <x v="156"/>
    <x v="1"/>
    <x v="74"/>
    <x v="1"/>
    <x v="55"/>
    <n v="108"/>
    <x v="13"/>
    <n v="2023"/>
    <x v="4"/>
    <x v="0"/>
    <x v="0"/>
    <x v="0"/>
    <x v="1"/>
    <s v="Male"/>
  </r>
  <r>
    <x v="157"/>
    <x v="3"/>
    <x v="95"/>
    <x v="1"/>
    <x v="55"/>
    <n v="28"/>
    <x v="4"/>
    <n v="2023"/>
    <x v="4"/>
    <x v="0"/>
    <x v="0"/>
    <x v="1"/>
    <x v="3"/>
    <s v="Female"/>
  </r>
  <r>
    <x v="158"/>
    <x v="9"/>
    <x v="96"/>
    <x v="0"/>
    <x v="56"/>
    <n v="70"/>
    <x v="0"/>
    <n v="2023"/>
    <x v="5"/>
    <x v="0"/>
    <x v="0"/>
    <x v="1"/>
    <x v="7"/>
    <s v="Female"/>
  </r>
  <r>
    <x v="159"/>
    <x v="2"/>
    <x v="90"/>
    <x v="0"/>
    <x v="56"/>
    <n v="172"/>
    <x v="17"/>
    <n v="2023"/>
    <x v="5"/>
    <x v="0"/>
    <x v="2"/>
    <x v="1"/>
    <x v="2"/>
    <s v="Male"/>
  </r>
  <r>
    <x v="160"/>
    <x v="1"/>
    <x v="97"/>
    <x v="2"/>
    <x v="56"/>
    <n v="123"/>
    <x v="5"/>
    <n v="2023"/>
    <x v="5"/>
    <x v="0"/>
    <x v="2"/>
    <x v="0"/>
    <x v="1"/>
    <s v="Male"/>
  </r>
  <r>
    <x v="161"/>
    <x v="1"/>
    <x v="98"/>
    <x v="1"/>
    <x v="56"/>
    <n v="93"/>
    <x v="7"/>
    <n v="2023"/>
    <x v="5"/>
    <x v="3"/>
    <x v="1"/>
    <x v="0"/>
    <x v="1"/>
    <s v="Male"/>
  </r>
  <r>
    <x v="162"/>
    <x v="12"/>
    <x v="99"/>
    <x v="0"/>
    <x v="56"/>
    <n v="66"/>
    <x v="9"/>
    <n v="2023"/>
    <x v="5"/>
    <x v="0"/>
    <x v="2"/>
    <x v="0"/>
    <x v="10"/>
    <s v="Female"/>
  </r>
  <r>
    <x v="163"/>
    <x v="12"/>
    <x v="37"/>
    <x v="1"/>
    <x v="56"/>
    <n v="39"/>
    <x v="21"/>
    <n v="2023"/>
    <x v="5"/>
    <x v="1"/>
    <x v="3"/>
    <x v="0"/>
    <x v="10"/>
    <s v="Female"/>
  </r>
  <r>
    <x v="164"/>
    <x v="0"/>
    <x v="100"/>
    <x v="4"/>
    <x v="56"/>
    <n v="25"/>
    <x v="15"/>
    <n v="2023"/>
    <x v="5"/>
    <x v="3"/>
    <x v="3"/>
    <x v="0"/>
    <x v="0"/>
    <s v="Male"/>
  </r>
  <r>
    <x v="165"/>
    <x v="13"/>
    <x v="96"/>
    <x v="2"/>
    <x v="56"/>
    <n v="68"/>
    <x v="35"/>
    <n v="2023"/>
    <x v="5"/>
    <x v="0"/>
    <x v="1"/>
    <x v="1"/>
    <x v="11"/>
    <s v="Male"/>
  </r>
  <r>
    <x v="166"/>
    <x v="2"/>
    <x v="16"/>
    <x v="4"/>
    <x v="56"/>
    <n v="84"/>
    <x v="23"/>
    <n v="2023"/>
    <x v="5"/>
    <x v="3"/>
    <x v="1"/>
    <x v="1"/>
    <x v="2"/>
    <s v="Male"/>
  </r>
  <r>
    <x v="167"/>
    <x v="4"/>
    <x v="12"/>
    <x v="1"/>
    <x v="57"/>
    <n v="88"/>
    <x v="7"/>
    <n v="2023"/>
    <x v="6"/>
    <x v="1"/>
    <x v="1"/>
    <x v="0"/>
    <x v="4"/>
    <s v="Female"/>
  </r>
  <r>
    <x v="168"/>
    <x v="10"/>
    <x v="25"/>
    <x v="2"/>
    <x v="57"/>
    <n v="93"/>
    <x v="34"/>
    <n v="2023"/>
    <x v="6"/>
    <x v="0"/>
    <x v="1"/>
    <x v="1"/>
    <x v="8"/>
    <s v="Male"/>
  </r>
  <r>
    <x v="169"/>
    <x v="1"/>
    <x v="58"/>
    <x v="4"/>
    <x v="57"/>
    <n v="128"/>
    <x v="13"/>
    <n v="2023"/>
    <x v="6"/>
    <x v="0"/>
    <x v="0"/>
    <x v="0"/>
    <x v="1"/>
    <s v="Male"/>
  </r>
  <r>
    <x v="170"/>
    <x v="2"/>
    <x v="29"/>
    <x v="3"/>
    <x v="57"/>
    <n v="40"/>
    <x v="7"/>
    <n v="2023"/>
    <x v="6"/>
    <x v="0"/>
    <x v="1"/>
    <x v="1"/>
    <x v="2"/>
    <s v="Male"/>
  </r>
  <r>
    <x v="171"/>
    <x v="6"/>
    <x v="101"/>
    <x v="4"/>
    <x v="58"/>
    <n v="92"/>
    <x v="2"/>
    <n v="2023"/>
    <x v="0"/>
    <x v="2"/>
    <x v="0"/>
    <x v="2"/>
    <x v="4"/>
    <s v="Female"/>
  </r>
  <r>
    <x v="172"/>
    <x v="8"/>
    <x v="96"/>
    <x v="1"/>
    <x v="58"/>
    <n v="27"/>
    <x v="14"/>
    <n v="2023"/>
    <x v="0"/>
    <x v="0"/>
    <x v="0"/>
    <x v="2"/>
    <x v="6"/>
    <s v="Male"/>
  </r>
  <r>
    <x v="173"/>
    <x v="5"/>
    <x v="37"/>
    <x v="0"/>
    <x v="58"/>
    <n v="140"/>
    <x v="17"/>
    <n v="2023"/>
    <x v="0"/>
    <x v="1"/>
    <x v="2"/>
    <x v="2"/>
    <x v="5"/>
    <s v="Female"/>
  </r>
  <r>
    <x v="174"/>
    <x v="12"/>
    <x v="19"/>
    <x v="2"/>
    <x v="58"/>
    <n v="40"/>
    <x v="13"/>
    <n v="2023"/>
    <x v="0"/>
    <x v="0"/>
    <x v="0"/>
    <x v="0"/>
    <x v="10"/>
    <s v="Female"/>
  </r>
  <r>
    <x v="175"/>
    <x v="14"/>
    <x v="51"/>
    <x v="4"/>
    <x v="58"/>
    <n v="102"/>
    <x v="2"/>
    <n v="2023"/>
    <x v="0"/>
    <x v="0"/>
    <x v="0"/>
    <x v="2"/>
    <x v="12"/>
    <s v="Female"/>
  </r>
  <r>
    <x v="176"/>
    <x v="5"/>
    <x v="97"/>
    <x v="0"/>
    <x v="58"/>
    <n v="42"/>
    <x v="18"/>
    <n v="2023"/>
    <x v="0"/>
    <x v="0"/>
    <x v="2"/>
    <x v="2"/>
    <x v="5"/>
    <s v="Female"/>
  </r>
  <r>
    <x v="177"/>
    <x v="10"/>
    <x v="93"/>
    <x v="1"/>
    <x v="59"/>
    <n v="210"/>
    <x v="10"/>
    <n v="2023"/>
    <x v="1"/>
    <x v="2"/>
    <x v="2"/>
    <x v="1"/>
    <x v="8"/>
    <s v="Male"/>
  </r>
  <r>
    <x v="178"/>
    <x v="5"/>
    <x v="88"/>
    <x v="2"/>
    <x v="59"/>
    <n v="34"/>
    <x v="35"/>
    <n v="2023"/>
    <x v="1"/>
    <x v="1"/>
    <x v="1"/>
    <x v="2"/>
    <x v="5"/>
    <s v="Female"/>
  </r>
  <r>
    <x v="179"/>
    <x v="12"/>
    <x v="21"/>
    <x v="3"/>
    <x v="59"/>
    <n v="215"/>
    <x v="6"/>
    <n v="2023"/>
    <x v="1"/>
    <x v="0"/>
    <x v="2"/>
    <x v="0"/>
    <x v="10"/>
    <s v="Female"/>
  </r>
  <r>
    <x v="180"/>
    <x v="9"/>
    <x v="63"/>
    <x v="3"/>
    <x v="59"/>
    <n v="32"/>
    <x v="36"/>
    <n v="2023"/>
    <x v="1"/>
    <x v="0"/>
    <x v="5"/>
    <x v="1"/>
    <x v="7"/>
    <s v="Female"/>
  </r>
  <r>
    <x v="181"/>
    <x v="4"/>
    <x v="86"/>
    <x v="1"/>
    <x v="60"/>
    <n v="48"/>
    <x v="2"/>
    <n v="2023"/>
    <x v="2"/>
    <x v="0"/>
    <x v="0"/>
    <x v="0"/>
    <x v="4"/>
    <s v="Female"/>
  </r>
  <r>
    <x v="182"/>
    <x v="5"/>
    <x v="53"/>
    <x v="1"/>
    <x v="60"/>
    <n v="132"/>
    <x v="14"/>
    <n v="2023"/>
    <x v="2"/>
    <x v="0"/>
    <x v="0"/>
    <x v="2"/>
    <x v="5"/>
    <s v="Female"/>
  </r>
  <r>
    <x v="183"/>
    <x v="8"/>
    <x v="6"/>
    <x v="0"/>
    <x v="60"/>
    <n v="172"/>
    <x v="12"/>
    <n v="2023"/>
    <x v="2"/>
    <x v="0"/>
    <x v="2"/>
    <x v="2"/>
    <x v="6"/>
    <s v="Male"/>
  </r>
  <r>
    <x v="184"/>
    <x v="8"/>
    <x v="29"/>
    <x v="0"/>
    <x v="60"/>
    <n v="111"/>
    <x v="7"/>
    <n v="2023"/>
    <x v="2"/>
    <x v="0"/>
    <x v="1"/>
    <x v="2"/>
    <x v="6"/>
    <s v="Male"/>
  </r>
  <r>
    <x v="185"/>
    <x v="7"/>
    <x v="102"/>
    <x v="0"/>
    <x v="60"/>
    <n v="58"/>
    <x v="6"/>
    <n v="2023"/>
    <x v="2"/>
    <x v="0"/>
    <x v="2"/>
    <x v="2"/>
    <x v="2"/>
    <s v="Female"/>
  </r>
  <r>
    <x v="186"/>
    <x v="7"/>
    <x v="103"/>
    <x v="3"/>
    <x v="60"/>
    <n v="68"/>
    <x v="9"/>
    <n v="2023"/>
    <x v="2"/>
    <x v="2"/>
    <x v="2"/>
    <x v="2"/>
    <x v="2"/>
    <s v="Female"/>
  </r>
  <r>
    <x v="187"/>
    <x v="8"/>
    <x v="104"/>
    <x v="2"/>
    <x v="60"/>
    <n v="160"/>
    <x v="14"/>
    <n v="2023"/>
    <x v="2"/>
    <x v="1"/>
    <x v="0"/>
    <x v="2"/>
    <x v="6"/>
    <s v="Male"/>
  </r>
  <r>
    <x v="188"/>
    <x v="13"/>
    <x v="24"/>
    <x v="4"/>
    <x v="60"/>
    <n v="45"/>
    <x v="35"/>
    <n v="2023"/>
    <x v="2"/>
    <x v="0"/>
    <x v="1"/>
    <x v="1"/>
    <x v="11"/>
    <s v="Male"/>
  </r>
  <r>
    <x v="189"/>
    <x v="14"/>
    <x v="6"/>
    <x v="1"/>
    <x v="61"/>
    <n v="117"/>
    <x v="35"/>
    <n v="2023"/>
    <x v="3"/>
    <x v="0"/>
    <x v="1"/>
    <x v="2"/>
    <x v="12"/>
    <s v="Female"/>
  </r>
  <r>
    <x v="190"/>
    <x v="10"/>
    <x v="105"/>
    <x v="0"/>
    <x v="62"/>
    <n v="22"/>
    <x v="37"/>
    <n v="2023"/>
    <x v="4"/>
    <x v="3"/>
    <x v="3"/>
    <x v="1"/>
    <x v="8"/>
    <s v="Male"/>
  </r>
  <r>
    <x v="191"/>
    <x v="14"/>
    <x v="29"/>
    <x v="4"/>
    <x v="62"/>
    <n v="195"/>
    <x v="35"/>
    <n v="2023"/>
    <x v="4"/>
    <x v="0"/>
    <x v="1"/>
    <x v="2"/>
    <x v="12"/>
    <s v="Female"/>
  </r>
  <r>
    <x v="192"/>
    <x v="7"/>
    <x v="24"/>
    <x v="2"/>
    <x v="62"/>
    <n v="168"/>
    <x v="20"/>
    <n v="2023"/>
    <x v="4"/>
    <x v="0"/>
    <x v="2"/>
    <x v="2"/>
    <x v="2"/>
    <s v="Female"/>
  </r>
  <r>
    <x v="193"/>
    <x v="5"/>
    <x v="106"/>
    <x v="3"/>
    <x v="63"/>
    <n v="46"/>
    <x v="0"/>
    <n v="2023"/>
    <x v="5"/>
    <x v="0"/>
    <x v="0"/>
    <x v="2"/>
    <x v="5"/>
    <s v="Female"/>
  </r>
  <r>
    <x v="194"/>
    <x v="1"/>
    <x v="23"/>
    <x v="0"/>
    <x v="63"/>
    <n v="164"/>
    <x v="7"/>
    <n v="2023"/>
    <x v="5"/>
    <x v="1"/>
    <x v="1"/>
    <x v="0"/>
    <x v="1"/>
    <s v="Male"/>
  </r>
  <r>
    <x v="195"/>
    <x v="5"/>
    <x v="47"/>
    <x v="3"/>
    <x v="63"/>
    <n v="48"/>
    <x v="13"/>
    <n v="2023"/>
    <x v="5"/>
    <x v="0"/>
    <x v="0"/>
    <x v="2"/>
    <x v="5"/>
    <s v="Female"/>
  </r>
  <r>
    <x v="196"/>
    <x v="2"/>
    <x v="28"/>
    <x v="1"/>
    <x v="63"/>
    <n v="96"/>
    <x v="13"/>
    <n v="2023"/>
    <x v="5"/>
    <x v="0"/>
    <x v="0"/>
    <x v="1"/>
    <x v="2"/>
    <s v="Male"/>
  </r>
  <r>
    <x v="197"/>
    <x v="5"/>
    <x v="51"/>
    <x v="3"/>
    <x v="63"/>
    <n v="105"/>
    <x v="9"/>
    <n v="2023"/>
    <x v="5"/>
    <x v="0"/>
    <x v="2"/>
    <x v="2"/>
    <x v="5"/>
    <s v="Female"/>
  </r>
  <r>
    <x v="198"/>
    <x v="1"/>
    <x v="41"/>
    <x v="3"/>
    <x v="64"/>
    <n v="44"/>
    <x v="6"/>
    <n v="2023"/>
    <x v="6"/>
    <x v="0"/>
    <x v="2"/>
    <x v="0"/>
    <x v="1"/>
    <s v="Male"/>
  </r>
  <r>
    <x v="199"/>
    <x v="0"/>
    <x v="107"/>
    <x v="2"/>
    <x v="64"/>
    <n v="132"/>
    <x v="20"/>
    <n v="2023"/>
    <x v="6"/>
    <x v="0"/>
    <x v="2"/>
    <x v="0"/>
    <x v="0"/>
    <s v="Male"/>
  </r>
  <r>
    <x v="200"/>
    <x v="2"/>
    <x v="5"/>
    <x v="0"/>
    <x v="64"/>
    <n v="54"/>
    <x v="18"/>
    <n v="2023"/>
    <x v="6"/>
    <x v="0"/>
    <x v="2"/>
    <x v="1"/>
    <x v="2"/>
    <s v="Male"/>
  </r>
  <r>
    <x v="201"/>
    <x v="13"/>
    <x v="108"/>
    <x v="4"/>
    <x v="64"/>
    <n v="129"/>
    <x v="15"/>
    <n v="2023"/>
    <x v="6"/>
    <x v="2"/>
    <x v="3"/>
    <x v="1"/>
    <x v="11"/>
    <s v="Male"/>
  </r>
  <r>
    <x v="202"/>
    <x v="13"/>
    <x v="47"/>
    <x v="3"/>
    <x v="64"/>
    <n v="42"/>
    <x v="9"/>
    <n v="2023"/>
    <x v="6"/>
    <x v="0"/>
    <x v="2"/>
    <x v="1"/>
    <x v="11"/>
    <s v="Male"/>
  </r>
  <r>
    <x v="203"/>
    <x v="9"/>
    <x v="45"/>
    <x v="3"/>
    <x v="64"/>
    <n v="42"/>
    <x v="18"/>
    <n v="2023"/>
    <x v="6"/>
    <x v="0"/>
    <x v="2"/>
    <x v="1"/>
    <x v="7"/>
    <s v="Female"/>
  </r>
  <r>
    <x v="204"/>
    <x v="7"/>
    <x v="104"/>
    <x v="0"/>
    <x v="64"/>
    <n v="180"/>
    <x v="22"/>
    <n v="2023"/>
    <x v="6"/>
    <x v="1"/>
    <x v="1"/>
    <x v="2"/>
    <x v="2"/>
    <s v="Female"/>
  </r>
  <r>
    <x v="205"/>
    <x v="4"/>
    <x v="21"/>
    <x v="3"/>
    <x v="65"/>
    <n v="34"/>
    <x v="4"/>
    <n v="2023"/>
    <x v="0"/>
    <x v="0"/>
    <x v="0"/>
    <x v="0"/>
    <x v="4"/>
    <s v="Female"/>
  </r>
  <r>
    <x v="206"/>
    <x v="14"/>
    <x v="91"/>
    <x v="4"/>
    <x v="65"/>
    <n v="29"/>
    <x v="2"/>
    <n v="2023"/>
    <x v="0"/>
    <x v="4"/>
    <x v="0"/>
    <x v="2"/>
    <x v="12"/>
    <s v="Female"/>
  </r>
  <r>
    <x v="207"/>
    <x v="12"/>
    <x v="109"/>
    <x v="1"/>
    <x v="65"/>
    <n v="165"/>
    <x v="16"/>
    <n v="2023"/>
    <x v="0"/>
    <x v="2"/>
    <x v="1"/>
    <x v="0"/>
    <x v="10"/>
    <s v="Female"/>
  </r>
  <r>
    <x v="208"/>
    <x v="14"/>
    <x v="110"/>
    <x v="3"/>
    <x v="66"/>
    <n v="32"/>
    <x v="20"/>
    <n v="2023"/>
    <x v="1"/>
    <x v="1"/>
    <x v="2"/>
    <x v="2"/>
    <x v="12"/>
    <s v="Female"/>
  </r>
  <r>
    <x v="209"/>
    <x v="13"/>
    <x v="84"/>
    <x v="2"/>
    <x v="66"/>
    <n v="160"/>
    <x v="0"/>
    <n v="2023"/>
    <x v="1"/>
    <x v="0"/>
    <x v="0"/>
    <x v="1"/>
    <x v="11"/>
    <s v="Male"/>
  </r>
  <r>
    <x v="210"/>
    <x v="7"/>
    <x v="111"/>
    <x v="0"/>
    <x v="66"/>
    <n v="140"/>
    <x v="8"/>
    <n v="2023"/>
    <x v="1"/>
    <x v="1"/>
    <x v="2"/>
    <x v="2"/>
    <x v="2"/>
    <s v="Female"/>
  </r>
  <r>
    <x v="211"/>
    <x v="12"/>
    <x v="61"/>
    <x v="0"/>
    <x v="66"/>
    <n v="136"/>
    <x v="5"/>
    <n v="2023"/>
    <x v="1"/>
    <x v="1"/>
    <x v="2"/>
    <x v="0"/>
    <x v="10"/>
    <s v="Female"/>
  </r>
  <r>
    <x v="212"/>
    <x v="2"/>
    <x v="106"/>
    <x v="4"/>
    <x v="66"/>
    <n v="66"/>
    <x v="3"/>
    <n v="2023"/>
    <x v="1"/>
    <x v="0"/>
    <x v="1"/>
    <x v="1"/>
    <x v="2"/>
    <s v="Male"/>
  </r>
  <r>
    <x v="213"/>
    <x v="12"/>
    <x v="36"/>
    <x v="2"/>
    <x v="67"/>
    <n v="63"/>
    <x v="17"/>
    <n v="2023"/>
    <x v="2"/>
    <x v="3"/>
    <x v="2"/>
    <x v="0"/>
    <x v="10"/>
    <s v="Female"/>
  </r>
  <r>
    <x v="214"/>
    <x v="0"/>
    <x v="112"/>
    <x v="3"/>
    <x v="67"/>
    <n v="44"/>
    <x v="8"/>
    <n v="2023"/>
    <x v="2"/>
    <x v="1"/>
    <x v="2"/>
    <x v="0"/>
    <x v="0"/>
    <s v="Male"/>
  </r>
  <r>
    <x v="215"/>
    <x v="7"/>
    <x v="16"/>
    <x v="1"/>
    <x v="67"/>
    <n v="78"/>
    <x v="11"/>
    <n v="2023"/>
    <x v="2"/>
    <x v="3"/>
    <x v="2"/>
    <x v="2"/>
    <x v="2"/>
    <s v="Female"/>
  </r>
  <r>
    <x v="216"/>
    <x v="7"/>
    <x v="1"/>
    <x v="3"/>
    <x v="67"/>
    <n v="20"/>
    <x v="10"/>
    <n v="2023"/>
    <x v="2"/>
    <x v="0"/>
    <x v="2"/>
    <x v="2"/>
    <x v="2"/>
    <s v="Female"/>
  </r>
  <r>
    <x v="217"/>
    <x v="14"/>
    <x v="83"/>
    <x v="4"/>
    <x v="67"/>
    <n v="84"/>
    <x v="25"/>
    <n v="2023"/>
    <x v="2"/>
    <x v="0"/>
    <x v="1"/>
    <x v="2"/>
    <x v="12"/>
    <s v="Female"/>
  </r>
  <r>
    <x v="218"/>
    <x v="8"/>
    <x v="2"/>
    <x v="4"/>
    <x v="67"/>
    <n v="32"/>
    <x v="0"/>
    <n v="2023"/>
    <x v="2"/>
    <x v="0"/>
    <x v="0"/>
    <x v="2"/>
    <x v="6"/>
    <s v="Male"/>
  </r>
  <r>
    <x v="219"/>
    <x v="9"/>
    <x v="113"/>
    <x v="1"/>
    <x v="67"/>
    <n v="132"/>
    <x v="7"/>
    <n v="2023"/>
    <x v="2"/>
    <x v="0"/>
    <x v="1"/>
    <x v="1"/>
    <x v="7"/>
    <s v="Female"/>
  </r>
  <r>
    <x v="220"/>
    <x v="9"/>
    <x v="47"/>
    <x v="0"/>
    <x v="67"/>
    <n v="105"/>
    <x v="16"/>
    <n v="2023"/>
    <x v="2"/>
    <x v="0"/>
    <x v="1"/>
    <x v="1"/>
    <x v="7"/>
    <s v="Female"/>
  </r>
  <r>
    <x v="221"/>
    <x v="1"/>
    <x v="12"/>
    <x v="3"/>
    <x v="68"/>
    <n v="48"/>
    <x v="2"/>
    <n v="2023"/>
    <x v="3"/>
    <x v="1"/>
    <x v="0"/>
    <x v="0"/>
    <x v="1"/>
    <s v="Male"/>
  </r>
  <r>
    <x v="222"/>
    <x v="7"/>
    <x v="44"/>
    <x v="3"/>
    <x v="68"/>
    <n v="64"/>
    <x v="9"/>
    <n v="2023"/>
    <x v="3"/>
    <x v="2"/>
    <x v="2"/>
    <x v="2"/>
    <x v="2"/>
    <s v="Female"/>
  </r>
  <r>
    <x v="223"/>
    <x v="10"/>
    <x v="87"/>
    <x v="0"/>
    <x v="68"/>
    <n v="44"/>
    <x v="11"/>
    <n v="2023"/>
    <x v="3"/>
    <x v="1"/>
    <x v="2"/>
    <x v="1"/>
    <x v="8"/>
    <s v="Male"/>
  </r>
  <r>
    <x v="224"/>
    <x v="1"/>
    <x v="68"/>
    <x v="1"/>
    <x v="68"/>
    <n v="120"/>
    <x v="22"/>
    <n v="2023"/>
    <x v="3"/>
    <x v="2"/>
    <x v="1"/>
    <x v="0"/>
    <x v="1"/>
    <s v="Male"/>
  </r>
  <r>
    <x v="225"/>
    <x v="10"/>
    <x v="33"/>
    <x v="1"/>
    <x v="68"/>
    <n v="144"/>
    <x v="4"/>
    <n v="2023"/>
    <x v="3"/>
    <x v="0"/>
    <x v="0"/>
    <x v="1"/>
    <x v="8"/>
    <s v="Male"/>
  </r>
  <r>
    <x v="226"/>
    <x v="9"/>
    <x v="83"/>
    <x v="1"/>
    <x v="68"/>
    <n v="87"/>
    <x v="34"/>
    <n v="2023"/>
    <x v="3"/>
    <x v="0"/>
    <x v="1"/>
    <x v="1"/>
    <x v="7"/>
    <s v="Female"/>
  </r>
  <r>
    <x v="227"/>
    <x v="4"/>
    <x v="114"/>
    <x v="4"/>
    <x v="68"/>
    <n v="36"/>
    <x v="6"/>
    <n v="2023"/>
    <x v="3"/>
    <x v="1"/>
    <x v="2"/>
    <x v="0"/>
    <x v="4"/>
    <s v="Female"/>
  </r>
  <r>
    <x v="228"/>
    <x v="9"/>
    <x v="31"/>
    <x v="3"/>
    <x v="69"/>
    <n v="72"/>
    <x v="2"/>
    <n v="2023"/>
    <x v="4"/>
    <x v="0"/>
    <x v="0"/>
    <x v="1"/>
    <x v="7"/>
    <s v="Female"/>
  </r>
  <r>
    <x v="229"/>
    <x v="13"/>
    <x v="76"/>
    <x v="0"/>
    <x v="69"/>
    <n v="150"/>
    <x v="5"/>
    <n v="2023"/>
    <x v="4"/>
    <x v="1"/>
    <x v="2"/>
    <x v="1"/>
    <x v="11"/>
    <s v="Male"/>
  </r>
  <r>
    <x v="230"/>
    <x v="3"/>
    <x v="73"/>
    <x v="1"/>
    <x v="69"/>
    <n v="68"/>
    <x v="12"/>
    <n v="2023"/>
    <x v="4"/>
    <x v="2"/>
    <x v="2"/>
    <x v="1"/>
    <x v="3"/>
    <s v="Female"/>
  </r>
  <r>
    <x v="231"/>
    <x v="1"/>
    <x v="30"/>
    <x v="0"/>
    <x v="69"/>
    <n v="99"/>
    <x v="0"/>
    <n v="2023"/>
    <x v="4"/>
    <x v="0"/>
    <x v="0"/>
    <x v="0"/>
    <x v="1"/>
    <s v="Male"/>
  </r>
  <r>
    <x v="232"/>
    <x v="4"/>
    <x v="17"/>
    <x v="1"/>
    <x v="69"/>
    <n v="26"/>
    <x v="4"/>
    <n v="2023"/>
    <x v="4"/>
    <x v="2"/>
    <x v="0"/>
    <x v="0"/>
    <x v="4"/>
    <s v="Female"/>
  </r>
  <r>
    <x v="233"/>
    <x v="9"/>
    <x v="38"/>
    <x v="1"/>
    <x v="69"/>
    <n v="88"/>
    <x v="23"/>
    <n v="2023"/>
    <x v="4"/>
    <x v="0"/>
    <x v="1"/>
    <x v="1"/>
    <x v="7"/>
    <s v="Female"/>
  </r>
  <r>
    <x v="234"/>
    <x v="5"/>
    <x v="41"/>
    <x v="1"/>
    <x v="69"/>
    <n v="124"/>
    <x v="7"/>
    <n v="2023"/>
    <x v="4"/>
    <x v="0"/>
    <x v="1"/>
    <x v="2"/>
    <x v="5"/>
    <s v="Female"/>
  </r>
  <r>
    <x v="235"/>
    <x v="10"/>
    <x v="5"/>
    <x v="1"/>
    <x v="69"/>
    <n v="72"/>
    <x v="8"/>
    <n v="2023"/>
    <x v="4"/>
    <x v="0"/>
    <x v="2"/>
    <x v="1"/>
    <x v="8"/>
    <s v="Male"/>
  </r>
  <r>
    <x v="236"/>
    <x v="0"/>
    <x v="102"/>
    <x v="2"/>
    <x v="70"/>
    <n v="125"/>
    <x v="0"/>
    <n v="2023"/>
    <x v="5"/>
    <x v="0"/>
    <x v="0"/>
    <x v="0"/>
    <x v="0"/>
    <s v="Male"/>
  </r>
  <r>
    <x v="237"/>
    <x v="6"/>
    <x v="90"/>
    <x v="0"/>
    <x v="70"/>
    <n v="22"/>
    <x v="17"/>
    <n v="2023"/>
    <x v="5"/>
    <x v="0"/>
    <x v="2"/>
    <x v="2"/>
    <x v="4"/>
    <s v="Female"/>
  </r>
  <r>
    <x v="238"/>
    <x v="2"/>
    <x v="34"/>
    <x v="3"/>
    <x v="71"/>
    <n v="70"/>
    <x v="0"/>
    <n v="2023"/>
    <x v="6"/>
    <x v="0"/>
    <x v="0"/>
    <x v="1"/>
    <x v="2"/>
    <s v="Male"/>
  </r>
  <r>
    <x v="239"/>
    <x v="11"/>
    <x v="101"/>
    <x v="1"/>
    <x v="71"/>
    <n v="24"/>
    <x v="12"/>
    <n v="2023"/>
    <x v="6"/>
    <x v="2"/>
    <x v="2"/>
    <x v="2"/>
    <x v="9"/>
    <s v="Female"/>
  </r>
  <r>
    <x v="240"/>
    <x v="7"/>
    <x v="29"/>
    <x v="4"/>
    <x v="71"/>
    <n v="32"/>
    <x v="17"/>
    <n v="2023"/>
    <x v="6"/>
    <x v="0"/>
    <x v="2"/>
    <x v="2"/>
    <x v="2"/>
    <s v="Female"/>
  </r>
  <r>
    <x v="241"/>
    <x v="13"/>
    <x v="32"/>
    <x v="2"/>
    <x v="71"/>
    <n v="112"/>
    <x v="5"/>
    <n v="2023"/>
    <x v="6"/>
    <x v="0"/>
    <x v="2"/>
    <x v="1"/>
    <x v="11"/>
    <s v="Male"/>
  </r>
  <r>
    <x v="242"/>
    <x v="6"/>
    <x v="20"/>
    <x v="1"/>
    <x v="72"/>
    <n v="43"/>
    <x v="14"/>
    <n v="2023"/>
    <x v="0"/>
    <x v="2"/>
    <x v="0"/>
    <x v="2"/>
    <x v="4"/>
    <s v="Female"/>
  </r>
  <r>
    <x v="243"/>
    <x v="10"/>
    <x v="5"/>
    <x v="2"/>
    <x v="72"/>
    <n v="22"/>
    <x v="8"/>
    <n v="2023"/>
    <x v="0"/>
    <x v="0"/>
    <x v="2"/>
    <x v="1"/>
    <x v="8"/>
    <s v="Male"/>
  </r>
  <r>
    <x v="244"/>
    <x v="9"/>
    <x v="115"/>
    <x v="2"/>
    <x v="72"/>
    <n v="93"/>
    <x v="5"/>
    <n v="2023"/>
    <x v="0"/>
    <x v="1"/>
    <x v="2"/>
    <x v="1"/>
    <x v="7"/>
    <s v="Female"/>
  </r>
  <r>
    <x v="245"/>
    <x v="6"/>
    <x v="19"/>
    <x v="2"/>
    <x v="72"/>
    <n v="45"/>
    <x v="8"/>
    <n v="2023"/>
    <x v="0"/>
    <x v="0"/>
    <x v="2"/>
    <x v="2"/>
    <x v="4"/>
    <s v="Female"/>
  </r>
  <r>
    <x v="246"/>
    <x v="1"/>
    <x v="116"/>
    <x v="2"/>
    <x v="73"/>
    <n v="96"/>
    <x v="11"/>
    <n v="2023"/>
    <x v="1"/>
    <x v="1"/>
    <x v="2"/>
    <x v="0"/>
    <x v="1"/>
    <s v="Male"/>
  </r>
  <r>
    <x v="247"/>
    <x v="1"/>
    <x v="34"/>
    <x v="1"/>
    <x v="73"/>
    <n v="96"/>
    <x v="16"/>
    <n v="2023"/>
    <x v="1"/>
    <x v="0"/>
    <x v="1"/>
    <x v="0"/>
    <x v="1"/>
    <s v="Male"/>
  </r>
  <r>
    <x v="248"/>
    <x v="2"/>
    <x v="108"/>
    <x v="0"/>
    <x v="73"/>
    <n v="31"/>
    <x v="5"/>
    <n v="2023"/>
    <x v="1"/>
    <x v="2"/>
    <x v="2"/>
    <x v="1"/>
    <x v="2"/>
    <s v="Male"/>
  </r>
  <r>
    <x v="249"/>
    <x v="4"/>
    <x v="13"/>
    <x v="1"/>
    <x v="73"/>
    <n v="200"/>
    <x v="10"/>
    <n v="2023"/>
    <x v="1"/>
    <x v="2"/>
    <x v="2"/>
    <x v="0"/>
    <x v="4"/>
    <s v="Female"/>
  </r>
  <r>
    <x v="250"/>
    <x v="1"/>
    <x v="71"/>
    <x v="0"/>
    <x v="73"/>
    <n v="99"/>
    <x v="34"/>
    <n v="2023"/>
    <x v="1"/>
    <x v="2"/>
    <x v="1"/>
    <x v="0"/>
    <x v="1"/>
    <s v="Male"/>
  </r>
  <r>
    <x v="251"/>
    <x v="3"/>
    <x v="117"/>
    <x v="4"/>
    <x v="73"/>
    <n v="144"/>
    <x v="1"/>
    <n v="2023"/>
    <x v="1"/>
    <x v="0"/>
    <x v="1"/>
    <x v="1"/>
    <x v="3"/>
    <s v="Female"/>
  </r>
  <r>
    <x v="252"/>
    <x v="2"/>
    <x v="9"/>
    <x v="2"/>
    <x v="74"/>
    <n v="81"/>
    <x v="9"/>
    <n v="2023"/>
    <x v="2"/>
    <x v="0"/>
    <x v="2"/>
    <x v="1"/>
    <x v="2"/>
    <s v="Male"/>
  </r>
  <r>
    <x v="253"/>
    <x v="3"/>
    <x v="23"/>
    <x v="4"/>
    <x v="74"/>
    <n v="70"/>
    <x v="5"/>
    <n v="2023"/>
    <x v="2"/>
    <x v="1"/>
    <x v="2"/>
    <x v="1"/>
    <x v="3"/>
    <s v="Female"/>
  </r>
  <r>
    <x v="254"/>
    <x v="1"/>
    <x v="47"/>
    <x v="4"/>
    <x v="74"/>
    <n v="148"/>
    <x v="13"/>
    <n v="2023"/>
    <x v="2"/>
    <x v="0"/>
    <x v="0"/>
    <x v="0"/>
    <x v="1"/>
    <s v="Male"/>
  </r>
  <r>
    <x v="255"/>
    <x v="5"/>
    <x v="44"/>
    <x v="2"/>
    <x v="74"/>
    <n v="215"/>
    <x v="17"/>
    <n v="2023"/>
    <x v="2"/>
    <x v="2"/>
    <x v="2"/>
    <x v="2"/>
    <x v="5"/>
    <s v="Female"/>
  </r>
  <r>
    <x v="256"/>
    <x v="5"/>
    <x v="111"/>
    <x v="1"/>
    <x v="74"/>
    <n v="124"/>
    <x v="5"/>
    <n v="2023"/>
    <x v="2"/>
    <x v="1"/>
    <x v="2"/>
    <x v="2"/>
    <x v="5"/>
    <s v="Female"/>
  </r>
  <r>
    <x v="257"/>
    <x v="10"/>
    <x v="97"/>
    <x v="3"/>
    <x v="74"/>
    <n v="168"/>
    <x v="17"/>
    <n v="2023"/>
    <x v="2"/>
    <x v="0"/>
    <x v="2"/>
    <x v="1"/>
    <x v="8"/>
    <s v="Male"/>
  </r>
  <r>
    <x v="258"/>
    <x v="12"/>
    <x v="85"/>
    <x v="0"/>
    <x v="74"/>
    <n v="90"/>
    <x v="14"/>
    <n v="2023"/>
    <x v="2"/>
    <x v="1"/>
    <x v="0"/>
    <x v="0"/>
    <x v="10"/>
    <s v="Female"/>
  </r>
  <r>
    <x v="259"/>
    <x v="12"/>
    <x v="20"/>
    <x v="2"/>
    <x v="75"/>
    <n v="176"/>
    <x v="18"/>
    <n v="2023"/>
    <x v="3"/>
    <x v="2"/>
    <x v="2"/>
    <x v="0"/>
    <x v="10"/>
    <s v="Female"/>
  </r>
  <r>
    <x v="260"/>
    <x v="4"/>
    <x v="47"/>
    <x v="4"/>
    <x v="75"/>
    <n v="87"/>
    <x v="19"/>
    <n v="2023"/>
    <x v="3"/>
    <x v="0"/>
    <x v="0"/>
    <x v="0"/>
    <x v="4"/>
    <s v="Female"/>
  </r>
  <r>
    <x v="261"/>
    <x v="9"/>
    <x v="44"/>
    <x v="1"/>
    <x v="75"/>
    <n v="128"/>
    <x v="14"/>
    <n v="2023"/>
    <x v="3"/>
    <x v="2"/>
    <x v="0"/>
    <x v="1"/>
    <x v="7"/>
    <s v="Female"/>
  </r>
  <r>
    <x v="262"/>
    <x v="14"/>
    <x v="92"/>
    <x v="4"/>
    <x v="75"/>
    <n v="120"/>
    <x v="17"/>
    <n v="2023"/>
    <x v="3"/>
    <x v="1"/>
    <x v="2"/>
    <x v="2"/>
    <x v="12"/>
    <s v="Female"/>
  </r>
  <r>
    <x v="263"/>
    <x v="8"/>
    <x v="58"/>
    <x v="3"/>
    <x v="75"/>
    <n v="130"/>
    <x v="4"/>
    <n v="2023"/>
    <x v="3"/>
    <x v="0"/>
    <x v="0"/>
    <x v="2"/>
    <x v="6"/>
    <s v="Male"/>
  </r>
  <r>
    <x v="264"/>
    <x v="11"/>
    <x v="85"/>
    <x v="1"/>
    <x v="75"/>
    <n v="172"/>
    <x v="22"/>
    <n v="2023"/>
    <x v="3"/>
    <x v="1"/>
    <x v="1"/>
    <x v="2"/>
    <x v="9"/>
    <s v="Female"/>
  </r>
  <r>
    <x v="265"/>
    <x v="6"/>
    <x v="37"/>
    <x v="1"/>
    <x v="75"/>
    <n v="58"/>
    <x v="0"/>
    <n v="2023"/>
    <x v="3"/>
    <x v="1"/>
    <x v="0"/>
    <x v="2"/>
    <x v="4"/>
    <s v="Female"/>
  </r>
  <r>
    <x v="266"/>
    <x v="5"/>
    <x v="75"/>
    <x v="3"/>
    <x v="76"/>
    <n v="86"/>
    <x v="17"/>
    <n v="2023"/>
    <x v="4"/>
    <x v="0"/>
    <x v="2"/>
    <x v="2"/>
    <x v="5"/>
    <s v="Female"/>
  </r>
  <r>
    <x v="267"/>
    <x v="12"/>
    <x v="112"/>
    <x v="3"/>
    <x v="77"/>
    <n v="31"/>
    <x v="5"/>
    <n v="2023"/>
    <x v="5"/>
    <x v="1"/>
    <x v="2"/>
    <x v="0"/>
    <x v="10"/>
    <s v="Female"/>
  </r>
  <r>
    <x v="268"/>
    <x v="2"/>
    <x v="107"/>
    <x v="4"/>
    <x v="77"/>
    <n v="72"/>
    <x v="5"/>
    <n v="2023"/>
    <x v="5"/>
    <x v="0"/>
    <x v="2"/>
    <x v="1"/>
    <x v="2"/>
    <s v="Male"/>
  </r>
  <r>
    <x v="269"/>
    <x v="12"/>
    <x v="118"/>
    <x v="0"/>
    <x v="78"/>
    <n v="27"/>
    <x v="35"/>
    <n v="2023"/>
    <x v="6"/>
    <x v="1"/>
    <x v="1"/>
    <x v="0"/>
    <x v="10"/>
    <s v="Female"/>
  </r>
  <r>
    <x v="270"/>
    <x v="14"/>
    <x v="77"/>
    <x v="1"/>
    <x v="78"/>
    <n v="110"/>
    <x v="5"/>
    <n v="2023"/>
    <x v="6"/>
    <x v="0"/>
    <x v="2"/>
    <x v="2"/>
    <x v="12"/>
    <s v="Female"/>
  </r>
  <r>
    <x v="271"/>
    <x v="10"/>
    <x v="53"/>
    <x v="4"/>
    <x v="78"/>
    <n v="126"/>
    <x v="20"/>
    <n v="2023"/>
    <x v="6"/>
    <x v="0"/>
    <x v="2"/>
    <x v="1"/>
    <x v="8"/>
    <s v="Male"/>
  </r>
  <r>
    <x v="272"/>
    <x v="9"/>
    <x v="40"/>
    <x v="0"/>
    <x v="78"/>
    <n v="60"/>
    <x v="10"/>
    <n v="2023"/>
    <x v="6"/>
    <x v="1"/>
    <x v="2"/>
    <x v="1"/>
    <x v="7"/>
    <s v="Female"/>
  </r>
  <r>
    <x v="273"/>
    <x v="12"/>
    <x v="82"/>
    <x v="4"/>
    <x v="78"/>
    <n v="35"/>
    <x v="8"/>
    <n v="2023"/>
    <x v="6"/>
    <x v="2"/>
    <x v="2"/>
    <x v="0"/>
    <x v="10"/>
    <s v="Female"/>
  </r>
  <r>
    <x v="274"/>
    <x v="1"/>
    <x v="97"/>
    <x v="1"/>
    <x v="78"/>
    <n v="81"/>
    <x v="8"/>
    <n v="2023"/>
    <x v="6"/>
    <x v="0"/>
    <x v="2"/>
    <x v="0"/>
    <x v="1"/>
    <s v="Male"/>
  </r>
  <r>
    <x v="275"/>
    <x v="0"/>
    <x v="27"/>
    <x v="0"/>
    <x v="78"/>
    <n v="116"/>
    <x v="7"/>
    <n v="2023"/>
    <x v="6"/>
    <x v="1"/>
    <x v="1"/>
    <x v="0"/>
    <x v="0"/>
    <s v="Male"/>
  </r>
  <r>
    <x v="276"/>
    <x v="4"/>
    <x v="119"/>
    <x v="2"/>
    <x v="78"/>
    <n v="60"/>
    <x v="14"/>
    <n v="2023"/>
    <x v="6"/>
    <x v="1"/>
    <x v="0"/>
    <x v="0"/>
    <x v="4"/>
    <s v="Female"/>
  </r>
  <r>
    <x v="277"/>
    <x v="10"/>
    <x v="120"/>
    <x v="0"/>
    <x v="79"/>
    <n v="130"/>
    <x v="18"/>
    <n v="2023"/>
    <x v="0"/>
    <x v="0"/>
    <x v="2"/>
    <x v="1"/>
    <x v="8"/>
    <s v="Male"/>
  </r>
  <r>
    <x v="278"/>
    <x v="7"/>
    <x v="46"/>
    <x v="3"/>
    <x v="79"/>
    <n v="99"/>
    <x v="13"/>
    <n v="2023"/>
    <x v="0"/>
    <x v="0"/>
    <x v="0"/>
    <x v="2"/>
    <x v="2"/>
    <s v="Female"/>
  </r>
  <r>
    <x v="279"/>
    <x v="11"/>
    <x v="29"/>
    <x v="1"/>
    <x v="79"/>
    <n v="135"/>
    <x v="2"/>
    <n v="2023"/>
    <x v="0"/>
    <x v="0"/>
    <x v="0"/>
    <x v="2"/>
    <x v="9"/>
    <s v="Female"/>
  </r>
  <r>
    <x v="280"/>
    <x v="1"/>
    <x v="6"/>
    <x v="0"/>
    <x v="79"/>
    <n v="42"/>
    <x v="3"/>
    <n v="2023"/>
    <x v="0"/>
    <x v="0"/>
    <x v="1"/>
    <x v="0"/>
    <x v="1"/>
    <s v="Male"/>
  </r>
  <r>
    <x v="281"/>
    <x v="10"/>
    <x v="0"/>
    <x v="3"/>
    <x v="80"/>
    <n v="63"/>
    <x v="7"/>
    <n v="2023"/>
    <x v="1"/>
    <x v="0"/>
    <x v="1"/>
    <x v="1"/>
    <x v="8"/>
    <s v="Male"/>
  </r>
  <r>
    <x v="282"/>
    <x v="5"/>
    <x v="84"/>
    <x v="2"/>
    <x v="80"/>
    <n v="140"/>
    <x v="32"/>
    <n v="2023"/>
    <x v="1"/>
    <x v="0"/>
    <x v="3"/>
    <x v="2"/>
    <x v="5"/>
    <s v="Female"/>
  </r>
  <r>
    <x v="283"/>
    <x v="12"/>
    <x v="116"/>
    <x v="1"/>
    <x v="80"/>
    <n v="128"/>
    <x v="18"/>
    <n v="2023"/>
    <x v="1"/>
    <x v="1"/>
    <x v="2"/>
    <x v="0"/>
    <x v="10"/>
    <s v="Female"/>
  </r>
  <r>
    <x v="284"/>
    <x v="8"/>
    <x v="56"/>
    <x v="4"/>
    <x v="80"/>
    <n v="80"/>
    <x v="5"/>
    <n v="2023"/>
    <x v="1"/>
    <x v="1"/>
    <x v="2"/>
    <x v="2"/>
    <x v="6"/>
    <s v="Male"/>
  </r>
  <r>
    <x v="285"/>
    <x v="4"/>
    <x v="48"/>
    <x v="3"/>
    <x v="80"/>
    <n v="28"/>
    <x v="34"/>
    <n v="2023"/>
    <x v="1"/>
    <x v="0"/>
    <x v="1"/>
    <x v="0"/>
    <x v="4"/>
    <s v="Female"/>
  </r>
  <r>
    <x v="286"/>
    <x v="11"/>
    <x v="121"/>
    <x v="2"/>
    <x v="81"/>
    <n v="81"/>
    <x v="13"/>
    <n v="2023"/>
    <x v="2"/>
    <x v="2"/>
    <x v="0"/>
    <x v="2"/>
    <x v="9"/>
    <s v="Female"/>
  </r>
  <r>
    <x v="287"/>
    <x v="1"/>
    <x v="76"/>
    <x v="1"/>
    <x v="81"/>
    <n v="99"/>
    <x v="10"/>
    <n v="2023"/>
    <x v="2"/>
    <x v="1"/>
    <x v="2"/>
    <x v="0"/>
    <x v="1"/>
    <s v="Male"/>
  </r>
  <r>
    <x v="288"/>
    <x v="5"/>
    <x v="67"/>
    <x v="1"/>
    <x v="81"/>
    <n v="43"/>
    <x v="11"/>
    <n v="2023"/>
    <x v="2"/>
    <x v="0"/>
    <x v="2"/>
    <x v="2"/>
    <x v="5"/>
    <s v="Female"/>
  </r>
  <r>
    <x v="289"/>
    <x v="7"/>
    <x v="101"/>
    <x v="1"/>
    <x v="81"/>
    <n v="34"/>
    <x v="19"/>
    <n v="2023"/>
    <x v="2"/>
    <x v="2"/>
    <x v="0"/>
    <x v="2"/>
    <x v="2"/>
    <s v="Female"/>
  </r>
  <r>
    <x v="290"/>
    <x v="5"/>
    <x v="108"/>
    <x v="2"/>
    <x v="81"/>
    <n v="225"/>
    <x v="19"/>
    <n v="2023"/>
    <x v="2"/>
    <x v="2"/>
    <x v="0"/>
    <x v="2"/>
    <x v="5"/>
    <s v="Female"/>
  </r>
  <r>
    <x v="291"/>
    <x v="11"/>
    <x v="44"/>
    <x v="4"/>
    <x v="81"/>
    <n v="210"/>
    <x v="14"/>
    <n v="2023"/>
    <x v="2"/>
    <x v="2"/>
    <x v="0"/>
    <x v="2"/>
    <x v="9"/>
    <s v="Female"/>
  </r>
  <r>
    <x v="292"/>
    <x v="12"/>
    <x v="78"/>
    <x v="1"/>
    <x v="81"/>
    <n v="168"/>
    <x v="18"/>
    <n v="2023"/>
    <x v="2"/>
    <x v="3"/>
    <x v="2"/>
    <x v="0"/>
    <x v="10"/>
    <s v="Female"/>
  </r>
  <r>
    <x v="293"/>
    <x v="7"/>
    <x v="47"/>
    <x v="0"/>
    <x v="82"/>
    <n v="82"/>
    <x v="14"/>
    <n v="2023"/>
    <x v="3"/>
    <x v="0"/>
    <x v="0"/>
    <x v="2"/>
    <x v="2"/>
    <s v="Female"/>
  </r>
  <r>
    <x v="294"/>
    <x v="2"/>
    <x v="108"/>
    <x v="3"/>
    <x v="82"/>
    <n v="88"/>
    <x v="17"/>
    <n v="2023"/>
    <x v="3"/>
    <x v="2"/>
    <x v="2"/>
    <x v="1"/>
    <x v="2"/>
    <s v="Male"/>
  </r>
  <r>
    <x v="295"/>
    <x v="14"/>
    <x v="48"/>
    <x v="0"/>
    <x v="82"/>
    <n v="111"/>
    <x v="16"/>
    <n v="2023"/>
    <x v="3"/>
    <x v="0"/>
    <x v="1"/>
    <x v="2"/>
    <x v="12"/>
    <s v="Female"/>
  </r>
  <r>
    <x v="296"/>
    <x v="13"/>
    <x v="3"/>
    <x v="4"/>
    <x v="82"/>
    <n v="60"/>
    <x v="11"/>
    <n v="2023"/>
    <x v="3"/>
    <x v="1"/>
    <x v="2"/>
    <x v="1"/>
    <x v="11"/>
    <s v="Male"/>
  </r>
  <r>
    <x v="297"/>
    <x v="4"/>
    <x v="4"/>
    <x v="0"/>
    <x v="82"/>
    <n v="80"/>
    <x v="35"/>
    <n v="2023"/>
    <x v="3"/>
    <x v="2"/>
    <x v="1"/>
    <x v="0"/>
    <x v="4"/>
    <s v="Female"/>
  </r>
  <r>
    <x v="298"/>
    <x v="13"/>
    <x v="34"/>
    <x v="2"/>
    <x v="83"/>
    <n v="90"/>
    <x v="19"/>
    <n v="2023"/>
    <x v="5"/>
    <x v="0"/>
    <x v="0"/>
    <x v="1"/>
    <x v="11"/>
    <s v="Male"/>
  </r>
  <r>
    <x v="299"/>
    <x v="9"/>
    <x v="69"/>
    <x v="0"/>
    <x v="83"/>
    <n v="225"/>
    <x v="1"/>
    <n v="2023"/>
    <x v="5"/>
    <x v="0"/>
    <x v="1"/>
    <x v="1"/>
    <x v="7"/>
    <s v="Female"/>
  </r>
  <r>
    <x v="300"/>
    <x v="0"/>
    <x v="73"/>
    <x v="1"/>
    <x v="84"/>
    <n v="215"/>
    <x v="23"/>
    <n v="2023"/>
    <x v="6"/>
    <x v="2"/>
    <x v="1"/>
    <x v="0"/>
    <x v="0"/>
    <s v="Male"/>
  </r>
  <r>
    <x v="301"/>
    <x v="3"/>
    <x v="60"/>
    <x v="2"/>
    <x v="84"/>
    <n v="45"/>
    <x v="38"/>
    <n v="2023"/>
    <x v="6"/>
    <x v="2"/>
    <x v="3"/>
    <x v="1"/>
    <x v="3"/>
    <s v="Female"/>
  </r>
  <r>
    <x v="302"/>
    <x v="6"/>
    <x v="15"/>
    <x v="1"/>
    <x v="84"/>
    <n v="74"/>
    <x v="9"/>
    <n v="2023"/>
    <x v="6"/>
    <x v="0"/>
    <x v="2"/>
    <x v="2"/>
    <x v="4"/>
    <s v="Female"/>
  </r>
  <r>
    <x v="303"/>
    <x v="2"/>
    <x v="105"/>
    <x v="2"/>
    <x v="84"/>
    <n v="60"/>
    <x v="6"/>
    <n v="2023"/>
    <x v="6"/>
    <x v="3"/>
    <x v="2"/>
    <x v="1"/>
    <x v="2"/>
    <s v="Male"/>
  </r>
  <r>
    <x v="304"/>
    <x v="7"/>
    <x v="83"/>
    <x v="1"/>
    <x v="84"/>
    <n v="64"/>
    <x v="20"/>
    <n v="2023"/>
    <x v="6"/>
    <x v="0"/>
    <x v="2"/>
    <x v="2"/>
    <x v="2"/>
    <s v="Female"/>
  </r>
  <r>
    <x v="305"/>
    <x v="12"/>
    <x v="51"/>
    <x v="0"/>
    <x v="85"/>
    <n v="110"/>
    <x v="4"/>
    <n v="2023"/>
    <x v="0"/>
    <x v="0"/>
    <x v="0"/>
    <x v="0"/>
    <x v="10"/>
    <s v="Female"/>
  </r>
  <r>
    <x v="306"/>
    <x v="1"/>
    <x v="48"/>
    <x v="4"/>
    <x v="85"/>
    <n v="52"/>
    <x v="39"/>
    <n v="2023"/>
    <x v="0"/>
    <x v="0"/>
    <x v="5"/>
    <x v="0"/>
    <x v="1"/>
    <s v="Male"/>
  </r>
  <r>
    <x v="307"/>
    <x v="2"/>
    <x v="22"/>
    <x v="3"/>
    <x v="86"/>
    <n v="160"/>
    <x v="2"/>
    <n v="2023"/>
    <x v="1"/>
    <x v="0"/>
    <x v="0"/>
    <x v="1"/>
    <x v="2"/>
    <s v="Male"/>
  </r>
  <r>
    <x v="308"/>
    <x v="10"/>
    <x v="65"/>
    <x v="3"/>
    <x v="86"/>
    <n v="215"/>
    <x v="2"/>
    <n v="2023"/>
    <x v="1"/>
    <x v="1"/>
    <x v="0"/>
    <x v="1"/>
    <x v="8"/>
    <s v="Male"/>
  </r>
  <r>
    <x v="309"/>
    <x v="10"/>
    <x v="101"/>
    <x v="4"/>
    <x v="86"/>
    <n v="220"/>
    <x v="14"/>
    <n v="2023"/>
    <x v="1"/>
    <x v="2"/>
    <x v="0"/>
    <x v="1"/>
    <x v="8"/>
    <s v="Male"/>
  </r>
  <r>
    <x v="310"/>
    <x v="6"/>
    <x v="75"/>
    <x v="1"/>
    <x v="87"/>
    <n v="175"/>
    <x v="8"/>
    <n v="2023"/>
    <x v="2"/>
    <x v="0"/>
    <x v="2"/>
    <x v="2"/>
    <x v="4"/>
    <s v="Female"/>
  </r>
  <r>
    <x v="311"/>
    <x v="12"/>
    <x v="32"/>
    <x v="1"/>
    <x v="87"/>
    <n v="145"/>
    <x v="17"/>
    <n v="2023"/>
    <x v="2"/>
    <x v="0"/>
    <x v="2"/>
    <x v="0"/>
    <x v="10"/>
    <s v="Female"/>
  </r>
  <r>
    <x v="312"/>
    <x v="3"/>
    <x v="122"/>
    <x v="2"/>
    <x v="87"/>
    <n v="72"/>
    <x v="5"/>
    <n v="2023"/>
    <x v="2"/>
    <x v="1"/>
    <x v="2"/>
    <x v="1"/>
    <x v="3"/>
    <s v="Female"/>
  </r>
  <r>
    <x v="313"/>
    <x v="5"/>
    <x v="18"/>
    <x v="1"/>
    <x v="88"/>
    <n v="81"/>
    <x v="6"/>
    <n v="2023"/>
    <x v="3"/>
    <x v="2"/>
    <x v="2"/>
    <x v="2"/>
    <x v="5"/>
    <s v="Female"/>
  </r>
  <r>
    <x v="314"/>
    <x v="11"/>
    <x v="49"/>
    <x v="4"/>
    <x v="88"/>
    <n v="54"/>
    <x v="17"/>
    <n v="2023"/>
    <x v="3"/>
    <x v="1"/>
    <x v="2"/>
    <x v="2"/>
    <x v="9"/>
    <s v="Female"/>
  </r>
  <r>
    <x v="315"/>
    <x v="7"/>
    <x v="123"/>
    <x v="2"/>
    <x v="88"/>
    <n v="105"/>
    <x v="4"/>
    <n v="2023"/>
    <x v="3"/>
    <x v="3"/>
    <x v="0"/>
    <x v="2"/>
    <x v="2"/>
    <s v="Female"/>
  </r>
  <r>
    <x v="316"/>
    <x v="11"/>
    <x v="55"/>
    <x v="1"/>
    <x v="89"/>
    <n v="176"/>
    <x v="10"/>
    <n v="2023"/>
    <x v="4"/>
    <x v="1"/>
    <x v="2"/>
    <x v="2"/>
    <x v="9"/>
    <s v="Female"/>
  </r>
  <r>
    <x v="317"/>
    <x v="2"/>
    <x v="99"/>
    <x v="1"/>
    <x v="89"/>
    <n v="115"/>
    <x v="11"/>
    <n v="2023"/>
    <x v="4"/>
    <x v="0"/>
    <x v="2"/>
    <x v="1"/>
    <x v="2"/>
    <s v="Male"/>
  </r>
  <r>
    <x v="318"/>
    <x v="10"/>
    <x v="73"/>
    <x v="0"/>
    <x v="89"/>
    <n v="116"/>
    <x v="10"/>
    <n v="2023"/>
    <x v="4"/>
    <x v="2"/>
    <x v="2"/>
    <x v="1"/>
    <x v="8"/>
    <s v="Male"/>
  </r>
  <r>
    <x v="319"/>
    <x v="10"/>
    <x v="119"/>
    <x v="4"/>
    <x v="89"/>
    <n v="100"/>
    <x v="17"/>
    <n v="2023"/>
    <x v="4"/>
    <x v="1"/>
    <x v="2"/>
    <x v="1"/>
    <x v="8"/>
    <s v="Male"/>
  </r>
  <r>
    <x v="320"/>
    <x v="9"/>
    <x v="50"/>
    <x v="4"/>
    <x v="90"/>
    <n v="36"/>
    <x v="30"/>
    <n v="2023"/>
    <x v="5"/>
    <x v="0"/>
    <x v="3"/>
    <x v="1"/>
    <x v="7"/>
    <s v="Female"/>
  </r>
  <r>
    <x v="321"/>
    <x v="13"/>
    <x v="95"/>
    <x v="4"/>
    <x v="90"/>
    <n v="114"/>
    <x v="13"/>
    <n v="2023"/>
    <x v="5"/>
    <x v="0"/>
    <x v="0"/>
    <x v="1"/>
    <x v="11"/>
    <s v="Male"/>
  </r>
  <r>
    <x v="322"/>
    <x v="13"/>
    <x v="124"/>
    <x v="0"/>
    <x v="90"/>
    <n v="24"/>
    <x v="11"/>
    <n v="2023"/>
    <x v="5"/>
    <x v="1"/>
    <x v="2"/>
    <x v="1"/>
    <x v="11"/>
    <s v="Male"/>
  </r>
  <r>
    <x v="323"/>
    <x v="5"/>
    <x v="125"/>
    <x v="1"/>
    <x v="90"/>
    <n v="135"/>
    <x v="19"/>
    <n v="2023"/>
    <x v="5"/>
    <x v="2"/>
    <x v="0"/>
    <x v="2"/>
    <x v="5"/>
    <s v="Female"/>
  </r>
  <r>
    <x v="324"/>
    <x v="11"/>
    <x v="33"/>
    <x v="1"/>
    <x v="90"/>
    <n v="30"/>
    <x v="9"/>
    <n v="2023"/>
    <x v="5"/>
    <x v="0"/>
    <x v="2"/>
    <x v="2"/>
    <x v="9"/>
    <s v="Female"/>
  </r>
  <r>
    <x v="325"/>
    <x v="1"/>
    <x v="29"/>
    <x v="1"/>
    <x v="90"/>
    <n v="84"/>
    <x v="3"/>
    <n v="2023"/>
    <x v="5"/>
    <x v="0"/>
    <x v="1"/>
    <x v="0"/>
    <x v="1"/>
    <s v="Male"/>
  </r>
  <r>
    <x v="326"/>
    <x v="14"/>
    <x v="95"/>
    <x v="3"/>
    <x v="90"/>
    <n v="42"/>
    <x v="5"/>
    <n v="2023"/>
    <x v="5"/>
    <x v="0"/>
    <x v="2"/>
    <x v="2"/>
    <x v="12"/>
    <s v="Female"/>
  </r>
  <r>
    <x v="327"/>
    <x v="9"/>
    <x v="123"/>
    <x v="4"/>
    <x v="90"/>
    <n v="117"/>
    <x v="21"/>
    <n v="2023"/>
    <x v="5"/>
    <x v="3"/>
    <x v="3"/>
    <x v="1"/>
    <x v="7"/>
    <s v="Female"/>
  </r>
  <r>
    <x v="328"/>
    <x v="6"/>
    <x v="38"/>
    <x v="2"/>
    <x v="90"/>
    <n v="164"/>
    <x v="9"/>
    <n v="2023"/>
    <x v="5"/>
    <x v="0"/>
    <x v="2"/>
    <x v="2"/>
    <x v="4"/>
    <s v="Female"/>
  </r>
  <r>
    <x v="329"/>
    <x v="13"/>
    <x v="48"/>
    <x v="3"/>
    <x v="91"/>
    <n v="123"/>
    <x v="5"/>
    <n v="2023"/>
    <x v="6"/>
    <x v="0"/>
    <x v="2"/>
    <x v="1"/>
    <x v="11"/>
    <s v="Male"/>
  </r>
  <r>
    <x v="330"/>
    <x v="4"/>
    <x v="4"/>
    <x v="0"/>
    <x v="91"/>
    <n v="172"/>
    <x v="1"/>
    <n v="2023"/>
    <x v="6"/>
    <x v="2"/>
    <x v="1"/>
    <x v="0"/>
    <x v="4"/>
    <s v="Female"/>
  </r>
  <r>
    <x v="331"/>
    <x v="12"/>
    <x v="126"/>
    <x v="4"/>
    <x v="91"/>
    <n v="20"/>
    <x v="4"/>
    <n v="2023"/>
    <x v="6"/>
    <x v="4"/>
    <x v="0"/>
    <x v="0"/>
    <x v="10"/>
    <s v="Female"/>
  </r>
  <r>
    <x v="332"/>
    <x v="13"/>
    <x v="43"/>
    <x v="0"/>
    <x v="91"/>
    <n v="72"/>
    <x v="20"/>
    <n v="2023"/>
    <x v="6"/>
    <x v="1"/>
    <x v="2"/>
    <x v="1"/>
    <x v="11"/>
    <s v="Male"/>
  </r>
  <r>
    <x v="333"/>
    <x v="2"/>
    <x v="33"/>
    <x v="1"/>
    <x v="91"/>
    <n v="32"/>
    <x v="4"/>
    <n v="2023"/>
    <x v="6"/>
    <x v="0"/>
    <x v="0"/>
    <x v="1"/>
    <x v="2"/>
    <s v="Male"/>
  </r>
  <r>
    <x v="334"/>
    <x v="9"/>
    <x v="113"/>
    <x v="3"/>
    <x v="91"/>
    <n v="140"/>
    <x v="23"/>
    <n v="2023"/>
    <x v="6"/>
    <x v="0"/>
    <x v="1"/>
    <x v="1"/>
    <x v="7"/>
    <s v="Female"/>
  </r>
  <r>
    <x v="335"/>
    <x v="2"/>
    <x v="42"/>
    <x v="1"/>
    <x v="92"/>
    <n v="120"/>
    <x v="0"/>
    <n v="2023"/>
    <x v="0"/>
    <x v="0"/>
    <x v="0"/>
    <x v="1"/>
    <x v="2"/>
    <s v="Male"/>
  </r>
  <r>
    <x v="336"/>
    <x v="11"/>
    <x v="123"/>
    <x v="1"/>
    <x v="92"/>
    <n v="86"/>
    <x v="30"/>
    <n v="2023"/>
    <x v="0"/>
    <x v="3"/>
    <x v="3"/>
    <x v="2"/>
    <x v="9"/>
    <s v="Female"/>
  </r>
  <r>
    <x v="337"/>
    <x v="1"/>
    <x v="53"/>
    <x v="1"/>
    <x v="92"/>
    <n v="132"/>
    <x v="13"/>
    <n v="2023"/>
    <x v="0"/>
    <x v="0"/>
    <x v="0"/>
    <x v="0"/>
    <x v="1"/>
    <s v="Male"/>
  </r>
  <r>
    <x v="338"/>
    <x v="10"/>
    <x v="90"/>
    <x v="1"/>
    <x v="92"/>
    <n v="80"/>
    <x v="16"/>
    <n v="2023"/>
    <x v="0"/>
    <x v="0"/>
    <x v="1"/>
    <x v="1"/>
    <x v="8"/>
    <s v="Male"/>
  </r>
  <r>
    <x v="339"/>
    <x v="8"/>
    <x v="68"/>
    <x v="0"/>
    <x v="92"/>
    <n v="132"/>
    <x v="20"/>
    <n v="2023"/>
    <x v="0"/>
    <x v="2"/>
    <x v="2"/>
    <x v="2"/>
    <x v="6"/>
    <s v="Male"/>
  </r>
  <r>
    <x v="340"/>
    <x v="2"/>
    <x v="71"/>
    <x v="3"/>
    <x v="92"/>
    <n v="27"/>
    <x v="20"/>
    <n v="2023"/>
    <x v="0"/>
    <x v="2"/>
    <x v="2"/>
    <x v="1"/>
    <x v="2"/>
    <s v="Male"/>
  </r>
  <r>
    <x v="341"/>
    <x v="6"/>
    <x v="38"/>
    <x v="3"/>
    <x v="93"/>
    <n v="68"/>
    <x v="6"/>
    <n v="2023"/>
    <x v="1"/>
    <x v="0"/>
    <x v="2"/>
    <x v="2"/>
    <x v="4"/>
    <s v="Female"/>
  </r>
  <r>
    <x v="342"/>
    <x v="8"/>
    <x v="0"/>
    <x v="1"/>
    <x v="93"/>
    <n v="22"/>
    <x v="2"/>
    <n v="2023"/>
    <x v="1"/>
    <x v="0"/>
    <x v="0"/>
    <x v="2"/>
    <x v="6"/>
    <s v="Male"/>
  </r>
  <r>
    <x v="343"/>
    <x v="11"/>
    <x v="15"/>
    <x v="3"/>
    <x v="93"/>
    <n v="42"/>
    <x v="22"/>
    <n v="2023"/>
    <x v="1"/>
    <x v="0"/>
    <x v="1"/>
    <x v="2"/>
    <x v="9"/>
    <s v="Female"/>
  </r>
  <r>
    <x v="344"/>
    <x v="6"/>
    <x v="5"/>
    <x v="3"/>
    <x v="94"/>
    <n v="38"/>
    <x v="16"/>
    <n v="2023"/>
    <x v="2"/>
    <x v="0"/>
    <x v="1"/>
    <x v="2"/>
    <x v="4"/>
    <s v="Female"/>
  </r>
  <r>
    <x v="345"/>
    <x v="12"/>
    <x v="127"/>
    <x v="3"/>
    <x v="94"/>
    <n v="42"/>
    <x v="14"/>
    <n v="2023"/>
    <x v="2"/>
    <x v="1"/>
    <x v="0"/>
    <x v="0"/>
    <x v="10"/>
    <s v="Female"/>
  </r>
  <r>
    <x v="346"/>
    <x v="5"/>
    <x v="128"/>
    <x v="0"/>
    <x v="94"/>
    <n v="75"/>
    <x v="10"/>
    <n v="2023"/>
    <x v="2"/>
    <x v="3"/>
    <x v="2"/>
    <x v="2"/>
    <x v="5"/>
    <s v="Female"/>
  </r>
  <r>
    <x v="347"/>
    <x v="12"/>
    <x v="93"/>
    <x v="4"/>
    <x v="95"/>
    <n v="23"/>
    <x v="0"/>
    <n v="2023"/>
    <x v="3"/>
    <x v="2"/>
    <x v="0"/>
    <x v="0"/>
    <x v="10"/>
    <s v="Female"/>
  </r>
  <r>
    <x v="348"/>
    <x v="12"/>
    <x v="34"/>
    <x v="0"/>
    <x v="95"/>
    <n v="200"/>
    <x v="4"/>
    <n v="2023"/>
    <x v="3"/>
    <x v="0"/>
    <x v="0"/>
    <x v="0"/>
    <x v="10"/>
    <s v="Female"/>
  </r>
  <r>
    <x v="349"/>
    <x v="3"/>
    <x v="21"/>
    <x v="1"/>
    <x v="96"/>
    <n v="45"/>
    <x v="6"/>
    <n v="2023"/>
    <x v="4"/>
    <x v="0"/>
    <x v="2"/>
    <x v="1"/>
    <x v="3"/>
    <s v="Female"/>
  </r>
  <r>
    <x v="350"/>
    <x v="11"/>
    <x v="54"/>
    <x v="1"/>
    <x v="96"/>
    <n v="105"/>
    <x v="8"/>
    <n v="2023"/>
    <x v="4"/>
    <x v="2"/>
    <x v="2"/>
    <x v="2"/>
    <x v="9"/>
    <s v="Female"/>
  </r>
  <r>
    <x v="351"/>
    <x v="4"/>
    <x v="11"/>
    <x v="1"/>
    <x v="96"/>
    <n v="22"/>
    <x v="11"/>
    <n v="2023"/>
    <x v="4"/>
    <x v="0"/>
    <x v="2"/>
    <x v="0"/>
    <x v="4"/>
    <s v="Female"/>
  </r>
  <r>
    <x v="352"/>
    <x v="7"/>
    <x v="59"/>
    <x v="3"/>
    <x v="97"/>
    <n v="126"/>
    <x v="5"/>
    <n v="2023"/>
    <x v="5"/>
    <x v="0"/>
    <x v="2"/>
    <x v="2"/>
    <x v="2"/>
    <s v="Female"/>
  </r>
  <r>
    <x v="353"/>
    <x v="10"/>
    <x v="19"/>
    <x v="3"/>
    <x v="97"/>
    <n v="35"/>
    <x v="35"/>
    <n v="2023"/>
    <x v="5"/>
    <x v="0"/>
    <x v="1"/>
    <x v="1"/>
    <x v="8"/>
    <s v="Male"/>
  </r>
  <r>
    <x v="354"/>
    <x v="2"/>
    <x v="129"/>
    <x v="1"/>
    <x v="97"/>
    <n v="84"/>
    <x v="14"/>
    <n v="2023"/>
    <x v="5"/>
    <x v="0"/>
    <x v="0"/>
    <x v="1"/>
    <x v="2"/>
    <s v="Male"/>
  </r>
  <r>
    <x v="355"/>
    <x v="14"/>
    <x v="19"/>
    <x v="1"/>
    <x v="98"/>
    <n v="172"/>
    <x v="14"/>
    <n v="2023"/>
    <x v="6"/>
    <x v="0"/>
    <x v="0"/>
    <x v="2"/>
    <x v="12"/>
    <s v="Female"/>
  </r>
  <r>
    <x v="356"/>
    <x v="7"/>
    <x v="12"/>
    <x v="0"/>
    <x v="98"/>
    <n v="114"/>
    <x v="9"/>
    <n v="2023"/>
    <x v="6"/>
    <x v="1"/>
    <x v="2"/>
    <x v="2"/>
    <x v="2"/>
    <s v="Female"/>
  </r>
  <r>
    <x v="357"/>
    <x v="14"/>
    <x v="9"/>
    <x v="0"/>
    <x v="98"/>
    <n v="60"/>
    <x v="11"/>
    <n v="2023"/>
    <x v="6"/>
    <x v="0"/>
    <x v="2"/>
    <x v="2"/>
    <x v="12"/>
    <s v="Female"/>
  </r>
  <r>
    <x v="358"/>
    <x v="13"/>
    <x v="130"/>
    <x v="2"/>
    <x v="98"/>
    <n v="26"/>
    <x v="16"/>
    <n v="2023"/>
    <x v="6"/>
    <x v="0"/>
    <x v="1"/>
    <x v="1"/>
    <x v="11"/>
    <s v="Male"/>
  </r>
  <r>
    <x v="359"/>
    <x v="5"/>
    <x v="131"/>
    <x v="1"/>
    <x v="98"/>
    <n v="210"/>
    <x v="12"/>
    <n v="2023"/>
    <x v="6"/>
    <x v="0"/>
    <x v="2"/>
    <x v="2"/>
    <x v="5"/>
    <s v="Female"/>
  </r>
  <r>
    <x v="360"/>
    <x v="9"/>
    <x v="106"/>
    <x v="0"/>
    <x v="98"/>
    <n v="129"/>
    <x v="18"/>
    <n v="2023"/>
    <x v="6"/>
    <x v="0"/>
    <x v="2"/>
    <x v="1"/>
    <x v="7"/>
    <s v="Female"/>
  </r>
  <r>
    <x v="361"/>
    <x v="10"/>
    <x v="71"/>
    <x v="2"/>
    <x v="98"/>
    <n v="215"/>
    <x v="12"/>
    <n v="2023"/>
    <x v="6"/>
    <x v="2"/>
    <x v="2"/>
    <x v="1"/>
    <x v="8"/>
    <s v="Male"/>
  </r>
  <r>
    <x v="362"/>
    <x v="13"/>
    <x v="132"/>
    <x v="4"/>
    <x v="98"/>
    <n v="69"/>
    <x v="19"/>
    <n v="2023"/>
    <x v="6"/>
    <x v="3"/>
    <x v="0"/>
    <x v="1"/>
    <x v="11"/>
    <s v="Male"/>
  </r>
  <r>
    <x v="363"/>
    <x v="10"/>
    <x v="3"/>
    <x v="4"/>
    <x v="98"/>
    <n v="140"/>
    <x v="35"/>
    <n v="2023"/>
    <x v="6"/>
    <x v="1"/>
    <x v="1"/>
    <x v="1"/>
    <x v="8"/>
    <s v="Male"/>
  </r>
  <r>
    <x v="364"/>
    <x v="11"/>
    <x v="64"/>
    <x v="2"/>
    <x v="99"/>
    <n v="156"/>
    <x v="34"/>
    <n v="2023"/>
    <x v="0"/>
    <x v="2"/>
    <x v="1"/>
    <x v="2"/>
    <x v="9"/>
    <s v="Female"/>
  </r>
  <r>
    <x v="365"/>
    <x v="13"/>
    <x v="103"/>
    <x v="4"/>
    <x v="99"/>
    <n v="164"/>
    <x v="22"/>
    <n v="2023"/>
    <x v="0"/>
    <x v="2"/>
    <x v="1"/>
    <x v="1"/>
    <x v="11"/>
    <s v="Male"/>
  </r>
  <r>
    <x v="366"/>
    <x v="8"/>
    <x v="4"/>
    <x v="4"/>
    <x v="99"/>
    <n v="195"/>
    <x v="27"/>
    <n v="2023"/>
    <x v="0"/>
    <x v="2"/>
    <x v="1"/>
    <x v="2"/>
    <x v="6"/>
    <s v="Male"/>
  </r>
  <r>
    <x v="367"/>
    <x v="1"/>
    <x v="98"/>
    <x v="3"/>
    <x v="99"/>
    <n v="74"/>
    <x v="19"/>
    <n v="2023"/>
    <x v="0"/>
    <x v="3"/>
    <x v="0"/>
    <x v="0"/>
    <x v="1"/>
    <s v="Male"/>
  </r>
  <r>
    <x v="368"/>
    <x v="12"/>
    <x v="122"/>
    <x v="2"/>
    <x v="99"/>
    <n v="100"/>
    <x v="9"/>
    <n v="2023"/>
    <x v="0"/>
    <x v="1"/>
    <x v="2"/>
    <x v="0"/>
    <x v="10"/>
    <s v="Female"/>
  </r>
  <r>
    <x v="369"/>
    <x v="0"/>
    <x v="10"/>
    <x v="1"/>
    <x v="99"/>
    <n v="185"/>
    <x v="14"/>
    <n v="2023"/>
    <x v="0"/>
    <x v="1"/>
    <x v="0"/>
    <x v="0"/>
    <x v="0"/>
    <s v="Male"/>
  </r>
  <r>
    <x v="370"/>
    <x v="7"/>
    <x v="53"/>
    <x v="2"/>
    <x v="99"/>
    <n v="130"/>
    <x v="29"/>
    <n v="2023"/>
    <x v="0"/>
    <x v="0"/>
    <x v="3"/>
    <x v="2"/>
    <x v="2"/>
    <s v="Female"/>
  </r>
  <r>
    <x v="371"/>
    <x v="6"/>
    <x v="50"/>
    <x v="3"/>
    <x v="100"/>
    <n v="21"/>
    <x v="27"/>
    <n v="2023"/>
    <x v="1"/>
    <x v="0"/>
    <x v="1"/>
    <x v="2"/>
    <x v="4"/>
    <s v="Female"/>
  </r>
  <r>
    <x v="372"/>
    <x v="14"/>
    <x v="90"/>
    <x v="0"/>
    <x v="100"/>
    <n v="88"/>
    <x v="12"/>
    <n v="2023"/>
    <x v="1"/>
    <x v="0"/>
    <x v="2"/>
    <x v="2"/>
    <x v="12"/>
    <s v="Female"/>
  </r>
  <r>
    <x v="373"/>
    <x v="2"/>
    <x v="28"/>
    <x v="4"/>
    <x v="100"/>
    <n v="35"/>
    <x v="5"/>
    <n v="2023"/>
    <x v="1"/>
    <x v="0"/>
    <x v="2"/>
    <x v="1"/>
    <x v="2"/>
    <s v="Male"/>
  </r>
  <r>
    <x v="374"/>
    <x v="14"/>
    <x v="133"/>
    <x v="1"/>
    <x v="100"/>
    <n v="68"/>
    <x v="12"/>
    <n v="2023"/>
    <x v="1"/>
    <x v="1"/>
    <x v="2"/>
    <x v="2"/>
    <x v="12"/>
    <s v="Female"/>
  </r>
  <r>
    <x v="375"/>
    <x v="11"/>
    <x v="118"/>
    <x v="1"/>
    <x v="100"/>
    <n v="148"/>
    <x v="14"/>
    <n v="2023"/>
    <x v="1"/>
    <x v="1"/>
    <x v="0"/>
    <x v="2"/>
    <x v="9"/>
    <s v="Female"/>
  </r>
  <r>
    <x v="376"/>
    <x v="2"/>
    <x v="117"/>
    <x v="0"/>
    <x v="101"/>
    <n v="81"/>
    <x v="18"/>
    <n v="2023"/>
    <x v="2"/>
    <x v="0"/>
    <x v="2"/>
    <x v="1"/>
    <x v="2"/>
    <s v="Male"/>
  </r>
  <r>
    <x v="377"/>
    <x v="7"/>
    <x v="91"/>
    <x v="0"/>
    <x v="101"/>
    <n v="75"/>
    <x v="10"/>
    <n v="2023"/>
    <x v="2"/>
    <x v="4"/>
    <x v="2"/>
    <x v="2"/>
    <x v="2"/>
    <s v="Female"/>
  </r>
  <r>
    <x v="378"/>
    <x v="9"/>
    <x v="53"/>
    <x v="2"/>
    <x v="102"/>
    <n v="32"/>
    <x v="6"/>
    <n v="2023"/>
    <x v="3"/>
    <x v="0"/>
    <x v="2"/>
    <x v="1"/>
    <x v="7"/>
    <s v="Female"/>
  </r>
  <r>
    <x v="379"/>
    <x v="13"/>
    <x v="99"/>
    <x v="2"/>
    <x v="102"/>
    <n v="156"/>
    <x v="11"/>
    <n v="2023"/>
    <x v="3"/>
    <x v="0"/>
    <x v="2"/>
    <x v="1"/>
    <x v="11"/>
    <s v="Male"/>
  </r>
  <r>
    <x v="380"/>
    <x v="1"/>
    <x v="31"/>
    <x v="1"/>
    <x v="102"/>
    <n v="99"/>
    <x v="0"/>
    <n v="2023"/>
    <x v="3"/>
    <x v="0"/>
    <x v="0"/>
    <x v="0"/>
    <x v="1"/>
    <s v="Male"/>
  </r>
  <r>
    <x v="381"/>
    <x v="0"/>
    <x v="134"/>
    <x v="4"/>
    <x v="102"/>
    <n v="26"/>
    <x v="9"/>
    <n v="2023"/>
    <x v="3"/>
    <x v="0"/>
    <x v="2"/>
    <x v="0"/>
    <x v="0"/>
    <s v="Male"/>
  </r>
  <r>
    <x v="382"/>
    <x v="4"/>
    <x v="68"/>
    <x v="2"/>
    <x v="102"/>
    <n v="84"/>
    <x v="17"/>
    <n v="2023"/>
    <x v="3"/>
    <x v="2"/>
    <x v="2"/>
    <x v="0"/>
    <x v="4"/>
    <s v="Female"/>
  </r>
  <r>
    <x v="383"/>
    <x v="3"/>
    <x v="73"/>
    <x v="4"/>
    <x v="102"/>
    <n v="84"/>
    <x v="4"/>
    <n v="2023"/>
    <x v="3"/>
    <x v="2"/>
    <x v="0"/>
    <x v="1"/>
    <x v="3"/>
    <s v="Female"/>
  </r>
  <r>
    <x v="384"/>
    <x v="10"/>
    <x v="90"/>
    <x v="1"/>
    <x v="102"/>
    <n v="170"/>
    <x v="24"/>
    <n v="2023"/>
    <x v="3"/>
    <x v="0"/>
    <x v="3"/>
    <x v="1"/>
    <x v="8"/>
    <s v="Male"/>
  </r>
  <r>
    <x v="385"/>
    <x v="14"/>
    <x v="63"/>
    <x v="2"/>
    <x v="102"/>
    <n v="35"/>
    <x v="5"/>
    <n v="2023"/>
    <x v="3"/>
    <x v="0"/>
    <x v="2"/>
    <x v="2"/>
    <x v="12"/>
    <s v="Female"/>
  </r>
  <r>
    <x v="386"/>
    <x v="6"/>
    <x v="117"/>
    <x v="2"/>
    <x v="103"/>
    <n v="35"/>
    <x v="11"/>
    <n v="2023"/>
    <x v="4"/>
    <x v="0"/>
    <x v="2"/>
    <x v="2"/>
    <x v="4"/>
    <s v="Female"/>
  </r>
  <r>
    <x v="387"/>
    <x v="11"/>
    <x v="0"/>
    <x v="2"/>
    <x v="103"/>
    <n v="132"/>
    <x v="13"/>
    <n v="2023"/>
    <x v="4"/>
    <x v="0"/>
    <x v="0"/>
    <x v="2"/>
    <x v="9"/>
    <s v="Female"/>
  </r>
  <r>
    <x v="388"/>
    <x v="1"/>
    <x v="25"/>
    <x v="0"/>
    <x v="104"/>
    <n v="144"/>
    <x v="16"/>
    <n v="2023"/>
    <x v="5"/>
    <x v="0"/>
    <x v="1"/>
    <x v="0"/>
    <x v="1"/>
    <s v="Male"/>
  </r>
  <r>
    <x v="389"/>
    <x v="14"/>
    <x v="15"/>
    <x v="1"/>
    <x v="104"/>
    <n v="48"/>
    <x v="13"/>
    <n v="2023"/>
    <x v="5"/>
    <x v="0"/>
    <x v="0"/>
    <x v="2"/>
    <x v="12"/>
    <s v="Female"/>
  </r>
  <r>
    <x v="390"/>
    <x v="14"/>
    <x v="71"/>
    <x v="0"/>
    <x v="104"/>
    <n v="200"/>
    <x v="24"/>
    <n v="2023"/>
    <x v="5"/>
    <x v="2"/>
    <x v="3"/>
    <x v="2"/>
    <x v="12"/>
    <s v="Female"/>
  </r>
  <r>
    <x v="391"/>
    <x v="10"/>
    <x v="84"/>
    <x v="4"/>
    <x v="104"/>
    <n v="38"/>
    <x v="4"/>
    <n v="2023"/>
    <x v="5"/>
    <x v="0"/>
    <x v="0"/>
    <x v="1"/>
    <x v="8"/>
    <s v="Male"/>
  </r>
  <r>
    <x v="392"/>
    <x v="11"/>
    <x v="125"/>
    <x v="3"/>
    <x v="104"/>
    <n v="81"/>
    <x v="20"/>
    <n v="2023"/>
    <x v="5"/>
    <x v="2"/>
    <x v="2"/>
    <x v="2"/>
    <x v="9"/>
    <s v="Female"/>
  </r>
  <r>
    <x v="393"/>
    <x v="1"/>
    <x v="114"/>
    <x v="2"/>
    <x v="104"/>
    <n v="120"/>
    <x v="18"/>
    <n v="2023"/>
    <x v="5"/>
    <x v="1"/>
    <x v="2"/>
    <x v="0"/>
    <x v="1"/>
    <s v="Male"/>
  </r>
  <r>
    <x v="394"/>
    <x v="8"/>
    <x v="135"/>
    <x v="4"/>
    <x v="104"/>
    <n v="74"/>
    <x v="4"/>
    <n v="2023"/>
    <x v="5"/>
    <x v="3"/>
    <x v="0"/>
    <x v="2"/>
    <x v="6"/>
    <s v="Male"/>
  </r>
  <r>
    <x v="395"/>
    <x v="1"/>
    <x v="62"/>
    <x v="2"/>
    <x v="105"/>
    <n v="128"/>
    <x v="2"/>
    <n v="2023"/>
    <x v="6"/>
    <x v="2"/>
    <x v="0"/>
    <x v="0"/>
    <x v="1"/>
    <s v="Male"/>
  </r>
  <r>
    <x v="396"/>
    <x v="3"/>
    <x v="48"/>
    <x v="1"/>
    <x v="105"/>
    <n v="21"/>
    <x v="10"/>
    <n v="2023"/>
    <x v="6"/>
    <x v="0"/>
    <x v="2"/>
    <x v="1"/>
    <x v="3"/>
    <s v="Female"/>
  </r>
  <r>
    <x v="397"/>
    <x v="14"/>
    <x v="93"/>
    <x v="2"/>
    <x v="105"/>
    <n v="110"/>
    <x v="12"/>
    <n v="2023"/>
    <x v="6"/>
    <x v="2"/>
    <x v="2"/>
    <x v="2"/>
    <x v="12"/>
    <s v="Female"/>
  </r>
  <r>
    <x v="398"/>
    <x v="1"/>
    <x v="97"/>
    <x v="2"/>
    <x v="105"/>
    <n v="145"/>
    <x v="9"/>
    <n v="2023"/>
    <x v="6"/>
    <x v="0"/>
    <x v="2"/>
    <x v="0"/>
    <x v="1"/>
    <s v="Male"/>
  </r>
  <r>
    <x v="399"/>
    <x v="14"/>
    <x v="34"/>
    <x v="3"/>
    <x v="105"/>
    <n v="129"/>
    <x v="9"/>
    <n v="2023"/>
    <x v="6"/>
    <x v="0"/>
    <x v="2"/>
    <x v="2"/>
    <x v="12"/>
    <s v="Female"/>
  </r>
  <r>
    <x v="400"/>
    <x v="6"/>
    <x v="5"/>
    <x v="0"/>
    <x v="105"/>
    <n v="156"/>
    <x v="23"/>
    <n v="2023"/>
    <x v="6"/>
    <x v="0"/>
    <x v="1"/>
    <x v="2"/>
    <x v="4"/>
    <s v="Female"/>
  </r>
  <r>
    <x v="401"/>
    <x v="8"/>
    <x v="49"/>
    <x v="2"/>
    <x v="106"/>
    <n v="120"/>
    <x v="11"/>
    <n v="2023"/>
    <x v="0"/>
    <x v="1"/>
    <x v="2"/>
    <x v="2"/>
    <x v="6"/>
    <s v="Male"/>
  </r>
  <r>
    <x v="402"/>
    <x v="3"/>
    <x v="136"/>
    <x v="3"/>
    <x v="106"/>
    <n v="62"/>
    <x v="7"/>
    <n v="2023"/>
    <x v="0"/>
    <x v="1"/>
    <x v="1"/>
    <x v="1"/>
    <x v="3"/>
    <s v="Female"/>
  </r>
  <r>
    <x v="403"/>
    <x v="9"/>
    <x v="76"/>
    <x v="2"/>
    <x v="106"/>
    <n v="160"/>
    <x v="23"/>
    <n v="2023"/>
    <x v="0"/>
    <x v="1"/>
    <x v="1"/>
    <x v="1"/>
    <x v="7"/>
    <s v="Female"/>
  </r>
  <r>
    <x v="404"/>
    <x v="1"/>
    <x v="54"/>
    <x v="2"/>
    <x v="106"/>
    <n v="56"/>
    <x v="2"/>
    <n v="2023"/>
    <x v="0"/>
    <x v="2"/>
    <x v="0"/>
    <x v="0"/>
    <x v="1"/>
    <s v="Male"/>
  </r>
  <r>
    <x v="405"/>
    <x v="5"/>
    <x v="117"/>
    <x v="4"/>
    <x v="106"/>
    <n v="72"/>
    <x v="9"/>
    <n v="2023"/>
    <x v="0"/>
    <x v="0"/>
    <x v="2"/>
    <x v="2"/>
    <x v="5"/>
    <s v="Female"/>
  </r>
  <r>
    <x v="406"/>
    <x v="1"/>
    <x v="12"/>
    <x v="1"/>
    <x v="107"/>
    <n v="81"/>
    <x v="4"/>
    <n v="2023"/>
    <x v="1"/>
    <x v="1"/>
    <x v="0"/>
    <x v="0"/>
    <x v="1"/>
    <s v="Male"/>
  </r>
  <r>
    <x v="407"/>
    <x v="3"/>
    <x v="75"/>
    <x v="2"/>
    <x v="107"/>
    <n v="144"/>
    <x v="10"/>
    <n v="2023"/>
    <x v="1"/>
    <x v="0"/>
    <x v="2"/>
    <x v="1"/>
    <x v="3"/>
    <s v="Female"/>
  </r>
  <r>
    <x v="408"/>
    <x v="2"/>
    <x v="86"/>
    <x v="1"/>
    <x v="107"/>
    <n v="111"/>
    <x v="12"/>
    <n v="2023"/>
    <x v="1"/>
    <x v="0"/>
    <x v="2"/>
    <x v="1"/>
    <x v="2"/>
    <s v="Male"/>
  </r>
  <r>
    <x v="409"/>
    <x v="14"/>
    <x v="137"/>
    <x v="3"/>
    <x v="107"/>
    <n v="43"/>
    <x v="18"/>
    <n v="2023"/>
    <x v="1"/>
    <x v="3"/>
    <x v="2"/>
    <x v="2"/>
    <x v="12"/>
    <s v="Female"/>
  </r>
  <r>
    <x v="410"/>
    <x v="6"/>
    <x v="37"/>
    <x v="4"/>
    <x v="107"/>
    <n v="41"/>
    <x v="0"/>
    <n v="2023"/>
    <x v="1"/>
    <x v="1"/>
    <x v="0"/>
    <x v="2"/>
    <x v="4"/>
    <s v="Female"/>
  </r>
  <r>
    <x v="411"/>
    <x v="2"/>
    <x v="80"/>
    <x v="4"/>
    <x v="107"/>
    <n v="74"/>
    <x v="9"/>
    <n v="2023"/>
    <x v="1"/>
    <x v="3"/>
    <x v="2"/>
    <x v="1"/>
    <x v="2"/>
    <s v="Male"/>
  </r>
  <r>
    <x v="412"/>
    <x v="12"/>
    <x v="29"/>
    <x v="2"/>
    <x v="107"/>
    <n v="43"/>
    <x v="0"/>
    <n v="2023"/>
    <x v="1"/>
    <x v="0"/>
    <x v="0"/>
    <x v="0"/>
    <x v="10"/>
    <s v="Female"/>
  </r>
  <r>
    <x v="413"/>
    <x v="10"/>
    <x v="114"/>
    <x v="4"/>
    <x v="107"/>
    <n v="128"/>
    <x v="6"/>
    <n v="2023"/>
    <x v="1"/>
    <x v="1"/>
    <x v="2"/>
    <x v="1"/>
    <x v="8"/>
    <s v="Male"/>
  </r>
  <r>
    <x v="414"/>
    <x v="0"/>
    <x v="92"/>
    <x v="4"/>
    <x v="108"/>
    <n v="144"/>
    <x v="17"/>
    <n v="2023"/>
    <x v="2"/>
    <x v="1"/>
    <x v="2"/>
    <x v="0"/>
    <x v="0"/>
    <s v="Male"/>
  </r>
  <r>
    <x v="415"/>
    <x v="12"/>
    <x v="55"/>
    <x v="1"/>
    <x v="108"/>
    <n v="132"/>
    <x v="0"/>
    <n v="2023"/>
    <x v="2"/>
    <x v="1"/>
    <x v="0"/>
    <x v="0"/>
    <x v="10"/>
    <s v="Female"/>
  </r>
  <r>
    <x v="416"/>
    <x v="2"/>
    <x v="130"/>
    <x v="1"/>
    <x v="108"/>
    <n v="180"/>
    <x v="10"/>
    <n v="2023"/>
    <x v="2"/>
    <x v="0"/>
    <x v="2"/>
    <x v="1"/>
    <x v="2"/>
    <s v="Male"/>
  </r>
  <r>
    <x v="417"/>
    <x v="4"/>
    <x v="138"/>
    <x v="1"/>
    <x v="108"/>
    <n v="31"/>
    <x v="17"/>
    <n v="2023"/>
    <x v="2"/>
    <x v="3"/>
    <x v="2"/>
    <x v="0"/>
    <x v="4"/>
    <s v="Female"/>
  </r>
  <r>
    <x v="418"/>
    <x v="2"/>
    <x v="131"/>
    <x v="1"/>
    <x v="108"/>
    <n v="102"/>
    <x v="11"/>
    <n v="2023"/>
    <x v="2"/>
    <x v="0"/>
    <x v="2"/>
    <x v="1"/>
    <x v="2"/>
    <s v="Male"/>
  </r>
  <r>
    <x v="419"/>
    <x v="5"/>
    <x v="116"/>
    <x v="2"/>
    <x v="109"/>
    <n v="175"/>
    <x v="4"/>
    <n v="2023"/>
    <x v="3"/>
    <x v="1"/>
    <x v="0"/>
    <x v="2"/>
    <x v="5"/>
    <s v="Female"/>
  </r>
  <r>
    <x v="420"/>
    <x v="12"/>
    <x v="137"/>
    <x v="0"/>
    <x v="109"/>
    <n v="87"/>
    <x v="2"/>
    <n v="2023"/>
    <x v="3"/>
    <x v="3"/>
    <x v="0"/>
    <x v="0"/>
    <x v="10"/>
    <s v="Female"/>
  </r>
  <r>
    <x v="421"/>
    <x v="8"/>
    <x v="28"/>
    <x v="2"/>
    <x v="109"/>
    <n v="66"/>
    <x v="18"/>
    <n v="2023"/>
    <x v="3"/>
    <x v="0"/>
    <x v="2"/>
    <x v="2"/>
    <x v="6"/>
    <s v="Male"/>
  </r>
  <r>
    <x v="422"/>
    <x v="8"/>
    <x v="7"/>
    <x v="2"/>
    <x v="109"/>
    <n v="25"/>
    <x v="23"/>
    <n v="2023"/>
    <x v="3"/>
    <x v="2"/>
    <x v="1"/>
    <x v="2"/>
    <x v="6"/>
    <s v="Male"/>
  </r>
  <r>
    <x v="423"/>
    <x v="2"/>
    <x v="66"/>
    <x v="1"/>
    <x v="109"/>
    <n v="126"/>
    <x v="7"/>
    <n v="2023"/>
    <x v="3"/>
    <x v="0"/>
    <x v="1"/>
    <x v="1"/>
    <x v="2"/>
    <s v="Male"/>
  </r>
  <r>
    <x v="424"/>
    <x v="0"/>
    <x v="97"/>
    <x v="3"/>
    <x v="110"/>
    <n v="42"/>
    <x v="19"/>
    <n v="2023"/>
    <x v="4"/>
    <x v="0"/>
    <x v="0"/>
    <x v="0"/>
    <x v="0"/>
    <s v="Male"/>
  </r>
  <r>
    <x v="425"/>
    <x v="5"/>
    <x v="58"/>
    <x v="0"/>
    <x v="110"/>
    <n v="225"/>
    <x v="29"/>
    <n v="2023"/>
    <x v="4"/>
    <x v="0"/>
    <x v="3"/>
    <x v="2"/>
    <x v="5"/>
    <s v="Female"/>
  </r>
  <r>
    <x v="426"/>
    <x v="3"/>
    <x v="139"/>
    <x v="0"/>
    <x v="110"/>
    <n v="42"/>
    <x v="16"/>
    <n v="2023"/>
    <x v="4"/>
    <x v="1"/>
    <x v="1"/>
    <x v="1"/>
    <x v="3"/>
    <s v="Female"/>
  </r>
  <r>
    <x v="427"/>
    <x v="2"/>
    <x v="61"/>
    <x v="3"/>
    <x v="111"/>
    <n v="110"/>
    <x v="22"/>
    <n v="2023"/>
    <x v="5"/>
    <x v="1"/>
    <x v="1"/>
    <x v="1"/>
    <x v="2"/>
    <s v="Male"/>
  </r>
  <r>
    <x v="428"/>
    <x v="10"/>
    <x v="125"/>
    <x v="1"/>
    <x v="111"/>
    <n v="225"/>
    <x v="4"/>
    <n v="2023"/>
    <x v="5"/>
    <x v="2"/>
    <x v="0"/>
    <x v="1"/>
    <x v="8"/>
    <s v="Male"/>
  </r>
  <r>
    <x v="429"/>
    <x v="8"/>
    <x v="10"/>
    <x v="4"/>
    <x v="112"/>
    <n v="125"/>
    <x v="16"/>
    <n v="2023"/>
    <x v="6"/>
    <x v="1"/>
    <x v="1"/>
    <x v="2"/>
    <x v="6"/>
    <s v="Male"/>
  </r>
  <r>
    <x v="430"/>
    <x v="5"/>
    <x v="22"/>
    <x v="1"/>
    <x v="112"/>
    <n v="78"/>
    <x v="1"/>
    <n v="2023"/>
    <x v="6"/>
    <x v="0"/>
    <x v="1"/>
    <x v="2"/>
    <x v="5"/>
    <s v="Female"/>
  </r>
  <r>
    <x v="431"/>
    <x v="5"/>
    <x v="22"/>
    <x v="3"/>
    <x v="112"/>
    <n v="40"/>
    <x v="21"/>
    <n v="2023"/>
    <x v="6"/>
    <x v="0"/>
    <x v="3"/>
    <x v="2"/>
    <x v="5"/>
    <s v="Female"/>
  </r>
  <r>
    <x v="432"/>
    <x v="9"/>
    <x v="107"/>
    <x v="2"/>
    <x v="112"/>
    <n v="150"/>
    <x v="19"/>
    <n v="2023"/>
    <x v="6"/>
    <x v="0"/>
    <x v="0"/>
    <x v="1"/>
    <x v="7"/>
    <s v="Female"/>
  </r>
  <r>
    <x v="433"/>
    <x v="2"/>
    <x v="140"/>
    <x v="1"/>
    <x v="112"/>
    <n v="96"/>
    <x v="4"/>
    <n v="2023"/>
    <x v="6"/>
    <x v="3"/>
    <x v="0"/>
    <x v="1"/>
    <x v="2"/>
    <s v="Male"/>
  </r>
  <r>
    <x v="434"/>
    <x v="8"/>
    <x v="48"/>
    <x v="3"/>
    <x v="113"/>
    <n v="75"/>
    <x v="4"/>
    <n v="2023"/>
    <x v="0"/>
    <x v="0"/>
    <x v="0"/>
    <x v="2"/>
    <x v="6"/>
    <s v="Male"/>
  </r>
  <r>
    <x v="435"/>
    <x v="9"/>
    <x v="22"/>
    <x v="3"/>
    <x v="113"/>
    <n v="60"/>
    <x v="6"/>
    <n v="2023"/>
    <x v="0"/>
    <x v="0"/>
    <x v="2"/>
    <x v="1"/>
    <x v="7"/>
    <s v="Female"/>
  </r>
  <r>
    <x v="436"/>
    <x v="14"/>
    <x v="73"/>
    <x v="1"/>
    <x v="114"/>
    <n v="41"/>
    <x v="4"/>
    <n v="2023"/>
    <x v="1"/>
    <x v="2"/>
    <x v="0"/>
    <x v="2"/>
    <x v="12"/>
    <s v="Female"/>
  </r>
  <r>
    <x v="437"/>
    <x v="7"/>
    <x v="65"/>
    <x v="2"/>
    <x v="114"/>
    <n v="20"/>
    <x v="18"/>
    <n v="2023"/>
    <x v="1"/>
    <x v="1"/>
    <x v="2"/>
    <x v="2"/>
    <x v="2"/>
    <s v="Female"/>
  </r>
  <r>
    <x v="438"/>
    <x v="1"/>
    <x v="141"/>
    <x v="4"/>
    <x v="114"/>
    <n v="84"/>
    <x v="27"/>
    <n v="2023"/>
    <x v="1"/>
    <x v="0"/>
    <x v="1"/>
    <x v="0"/>
    <x v="1"/>
    <s v="Male"/>
  </r>
  <r>
    <x v="439"/>
    <x v="8"/>
    <x v="77"/>
    <x v="0"/>
    <x v="114"/>
    <n v="140"/>
    <x v="20"/>
    <n v="2023"/>
    <x v="1"/>
    <x v="0"/>
    <x v="2"/>
    <x v="2"/>
    <x v="6"/>
    <s v="Male"/>
  </r>
  <r>
    <x v="440"/>
    <x v="11"/>
    <x v="21"/>
    <x v="1"/>
    <x v="114"/>
    <n v="66"/>
    <x v="4"/>
    <n v="2023"/>
    <x v="1"/>
    <x v="0"/>
    <x v="0"/>
    <x v="2"/>
    <x v="9"/>
    <s v="Female"/>
  </r>
  <r>
    <x v="441"/>
    <x v="6"/>
    <x v="1"/>
    <x v="2"/>
    <x v="114"/>
    <n v="105"/>
    <x v="2"/>
    <n v="2023"/>
    <x v="1"/>
    <x v="0"/>
    <x v="0"/>
    <x v="2"/>
    <x v="4"/>
    <s v="Female"/>
  </r>
  <r>
    <x v="442"/>
    <x v="0"/>
    <x v="10"/>
    <x v="3"/>
    <x v="115"/>
    <n v="104"/>
    <x v="17"/>
    <n v="2023"/>
    <x v="2"/>
    <x v="1"/>
    <x v="2"/>
    <x v="0"/>
    <x v="0"/>
    <s v="Male"/>
  </r>
  <r>
    <x v="443"/>
    <x v="7"/>
    <x v="103"/>
    <x v="4"/>
    <x v="115"/>
    <n v="123"/>
    <x v="23"/>
    <n v="2023"/>
    <x v="2"/>
    <x v="2"/>
    <x v="1"/>
    <x v="2"/>
    <x v="2"/>
    <s v="Female"/>
  </r>
  <r>
    <x v="444"/>
    <x v="2"/>
    <x v="142"/>
    <x v="3"/>
    <x v="116"/>
    <n v="215"/>
    <x v="12"/>
    <n v="2023"/>
    <x v="3"/>
    <x v="2"/>
    <x v="2"/>
    <x v="1"/>
    <x v="2"/>
    <s v="Male"/>
  </r>
  <r>
    <x v="445"/>
    <x v="0"/>
    <x v="74"/>
    <x v="1"/>
    <x v="116"/>
    <n v="46"/>
    <x v="36"/>
    <n v="2023"/>
    <x v="3"/>
    <x v="0"/>
    <x v="5"/>
    <x v="0"/>
    <x v="0"/>
    <s v="Male"/>
  </r>
  <r>
    <x v="446"/>
    <x v="9"/>
    <x v="84"/>
    <x v="4"/>
    <x v="116"/>
    <n v="115"/>
    <x v="20"/>
    <n v="2023"/>
    <x v="3"/>
    <x v="0"/>
    <x v="2"/>
    <x v="1"/>
    <x v="7"/>
    <s v="Female"/>
  </r>
  <r>
    <x v="447"/>
    <x v="0"/>
    <x v="129"/>
    <x v="4"/>
    <x v="116"/>
    <n v="124"/>
    <x v="10"/>
    <n v="2023"/>
    <x v="3"/>
    <x v="0"/>
    <x v="2"/>
    <x v="0"/>
    <x v="0"/>
    <s v="Male"/>
  </r>
  <r>
    <x v="448"/>
    <x v="13"/>
    <x v="78"/>
    <x v="4"/>
    <x v="117"/>
    <n v="205"/>
    <x v="14"/>
    <n v="2023"/>
    <x v="4"/>
    <x v="3"/>
    <x v="0"/>
    <x v="1"/>
    <x v="11"/>
    <s v="Male"/>
  </r>
  <r>
    <x v="449"/>
    <x v="14"/>
    <x v="75"/>
    <x v="2"/>
    <x v="117"/>
    <n v="90"/>
    <x v="3"/>
    <n v="2023"/>
    <x v="4"/>
    <x v="0"/>
    <x v="1"/>
    <x v="2"/>
    <x v="12"/>
    <s v="Female"/>
  </r>
  <r>
    <x v="450"/>
    <x v="9"/>
    <x v="22"/>
    <x v="1"/>
    <x v="117"/>
    <n v="92"/>
    <x v="0"/>
    <n v="2023"/>
    <x v="4"/>
    <x v="0"/>
    <x v="0"/>
    <x v="1"/>
    <x v="7"/>
    <s v="Female"/>
  </r>
  <r>
    <x v="451"/>
    <x v="8"/>
    <x v="101"/>
    <x v="3"/>
    <x v="118"/>
    <n v="108"/>
    <x v="18"/>
    <n v="2023"/>
    <x v="6"/>
    <x v="2"/>
    <x v="2"/>
    <x v="2"/>
    <x v="6"/>
    <s v="Male"/>
  </r>
  <r>
    <x v="452"/>
    <x v="14"/>
    <x v="70"/>
    <x v="3"/>
    <x v="118"/>
    <n v="54"/>
    <x v="5"/>
    <n v="2023"/>
    <x v="6"/>
    <x v="1"/>
    <x v="2"/>
    <x v="2"/>
    <x v="12"/>
    <s v="Female"/>
  </r>
  <r>
    <x v="453"/>
    <x v="8"/>
    <x v="95"/>
    <x v="3"/>
    <x v="119"/>
    <n v="44"/>
    <x v="8"/>
    <n v="2023"/>
    <x v="0"/>
    <x v="0"/>
    <x v="2"/>
    <x v="2"/>
    <x v="6"/>
    <s v="Male"/>
  </r>
  <r>
    <x v="454"/>
    <x v="11"/>
    <x v="65"/>
    <x v="3"/>
    <x v="119"/>
    <n v="44"/>
    <x v="2"/>
    <n v="2023"/>
    <x v="0"/>
    <x v="1"/>
    <x v="0"/>
    <x v="2"/>
    <x v="9"/>
    <s v="Female"/>
  </r>
  <r>
    <x v="455"/>
    <x v="0"/>
    <x v="143"/>
    <x v="1"/>
    <x v="120"/>
    <n v="37"/>
    <x v="0"/>
    <n v="2023"/>
    <x v="1"/>
    <x v="2"/>
    <x v="0"/>
    <x v="0"/>
    <x v="0"/>
    <s v="Male"/>
  </r>
  <r>
    <x v="456"/>
    <x v="1"/>
    <x v="7"/>
    <x v="2"/>
    <x v="120"/>
    <n v="180"/>
    <x v="14"/>
    <n v="2023"/>
    <x v="1"/>
    <x v="2"/>
    <x v="0"/>
    <x v="0"/>
    <x v="1"/>
    <s v="Male"/>
  </r>
  <r>
    <x v="457"/>
    <x v="0"/>
    <x v="59"/>
    <x v="4"/>
    <x v="120"/>
    <n v="105"/>
    <x v="0"/>
    <n v="2023"/>
    <x v="1"/>
    <x v="0"/>
    <x v="0"/>
    <x v="0"/>
    <x v="0"/>
    <s v="Male"/>
  </r>
  <r>
    <x v="458"/>
    <x v="11"/>
    <x v="21"/>
    <x v="0"/>
    <x v="120"/>
    <n v="87"/>
    <x v="6"/>
    <n v="2023"/>
    <x v="1"/>
    <x v="0"/>
    <x v="2"/>
    <x v="2"/>
    <x v="9"/>
    <s v="Female"/>
  </r>
  <r>
    <x v="459"/>
    <x v="9"/>
    <x v="128"/>
    <x v="2"/>
    <x v="120"/>
    <n v="52"/>
    <x v="11"/>
    <n v="2023"/>
    <x v="1"/>
    <x v="3"/>
    <x v="2"/>
    <x v="1"/>
    <x v="7"/>
    <s v="Female"/>
  </r>
  <r>
    <x v="460"/>
    <x v="4"/>
    <x v="8"/>
    <x v="4"/>
    <x v="120"/>
    <n v="63"/>
    <x v="8"/>
    <n v="2023"/>
    <x v="1"/>
    <x v="2"/>
    <x v="2"/>
    <x v="0"/>
    <x v="4"/>
    <s v="Female"/>
  </r>
  <r>
    <x v="461"/>
    <x v="10"/>
    <x v="144"/>
    <x v="1"/>
    <x v="121"/>
    <n v="195"/>
    <x v="4"/>
    <n v="2023"/>
    <x v="2"/>
    <x v="2"/>
    <x v="0"/>
    <x v="1"/>
    <x v="8"/>
    <s v="Male"/>
  </r>
  <r>
    <x v="462"/>
    <x v="14"/>
    <x v="34"/>
    <x v="3"/>
    <x v="122"/>
    <n v="176"/>
    <x v="14"/>
    <n v="2023"/>
    <x v="3"/>
    <x v="0"/>
    <x v="0"/>
    <x v="2"/>
    <x v="12"/>
    <s v="Female"/>
  </r>
  <r>
    <x v="463"/>
    <x v="6"/>
    <x v="17"/>
    <x v="2"/>
    <x v="123"/>
    <n v="31"/>
    <x v="16"/>
    <n v="2023"/>
    <x v="4"/>
    <x v="2"/>
    <x v="1"/>
    <x v="2"/>
    <x v="4"/>
    <s v="Female"/>
  </r>
  <r>
    <x v="464"/>
    <x v="2"/>
    <x v="128"/>
    <x v="2"/>
    <x v="124"/>
    <n v="27"/>
    <x v="23"/>
    <n v="2023"/>
    <x v="5"/>
    <x v="3"/>
    <x v="1"/>
    <x v="1"/>
    <x v="2"/>
    <s v="Male"/>
  </r>
  <r>
    <x v="465"/>
    <x v="7"/>
    <x v="129"/>
    <x v="3"/>
    <x v="124"/>
    <n v="76"/>
    <x v="0"/>
    <n v="2023"/>
    <x v="5"/>
    <x v="0"/>
    <x v="0"/>
    <x v="2"/>
    <x v="2"/>
    <s v="Female"/>
  </r>
  <r>
    <x v="466"/>
    <x v="4"/>
    <x v="111"/>
    <x v="4"/>
    <x v="124"/>
    <n v="62"/>
    <x v="4"/>
    <n v="2023"/>
    <x v="5"/>
    <x v="1"/>
    <x v="0"/>
    <x v="0"/>
    <x v="4"/>
    <s v="Female"/>
  </r>
  <r>
    <x v="467"/>
    <x v="7"/>
    <x v="22"/>
    <x v="1"/>
    <x v="125"/>
    <n v="100"/>
    <x v="40"/>
    <n v="2023"/>
    <x v="0"/>
    <x v="0"/>
    <x v="5"/>
    <x v="2"/>
    <x v="2"/>
    <s v="Female"/>
  </r>
  <r>
    <x v="468"/>
    <x v="13"/>
    <x v="102"/>
    <x v="2"/>
    <x v="125"/>
    <n v="44"/>
    <x v="22"/>
    <n v="2023"/>
    <x v="0"/>
    <x v="0"/>
    <x v="1"/>
    <x v="1"/>
    <x v="11"/>
    <s v="Male"/>
  </r>
  <r>
    <x v="469"/>
    <x v="2"/>
    <x v="86"/>
    <x v="3"/>
    <x v="125"/>
    <n v="168"/>
    <x v="7"/>
    <n v="2023"/>
    <x v="0"/>
    <x v="0"/>
    <x v="1"/>
    <x v="1"/>
    <x v="2"/>
    <s v="Male"/>
  </r>
  <r>
    <x v="470"/>
    <x v="5"/>
    <x v="108"/>
    <x v="3"/>
    <x v="126"/>
    <n v="200"/>
    <x v="19"/>
    <n v="2023"/>
    <x v="1"/>
    <x v="2"/>
    <x v="0"/>
    <x v="2"/>
    <x v="5"/>
    <s v="Female"/>
  </r>
  <r>
    <x v="471"/>
    <x v="1"/>
    <x v="85"/>
    <x v="2"/>
    <x v="126"/>
    <n v="84"/>
    <x v="12"/>
    <n v="2023"/>
    <x v="1"/>
    <x v="1"/>
    <x v="2"/>
    <x v="0"/>
    <x v="1"/>
    <s v="Male"/>
  </r>
  <r>
    <x v="472"/>
    <x v="14"/>
    <x v="145"/>
    <x v="3"/>
    <x v="127"/>
    <n v="117"/>
    <x v="34"/>
    <n v="2023"/>
    <x v="2"/>
    <x v="2"/>
    <x v="1"/>
    <x v="2"/>
    <x v="12"/>
    <s v="Female"/>
  </r>
  <r>
    <x v="473"/>
    <x v="10"/>
    <x v="98"/>
    <x v="1"/>
    <x v="127"/>
    <n v="63"/>
    <x v="18"/>
    <n v="2023"/>
    <x v="2"/>
    <x v="3"/>
    <x v="2"/>
    <x v="1"/>
    <x v="8"/>
    <s v="Male"/>
  </r>
  <r>
    <x v="474"/>
    <x v="2"/>
    <x v="24"/>
    <x v="3"/>
    <x v="128"/>
    <n v="145"/>
    <x v="0"/>
    <n v="2023"/>
    <x v="3"/>
    <x v="0"/>
    <x v="0"/>
    <x v="1"/>
    <x v="2"/>
    <s v="Male"/>
  </r>
  <r>
    <x v="475"/>
    <x v="14"/>
    <x v="12"/>
    <x v="2"/>
    <x v="128"/>
    <n v="220"/>
    <x v="23"/>
    <n v="2023"/>
    <x v="3"/>
    <x v="1"/>
    <x v="1"/>
    <x v="2"/>
    <x v="12"/>
    <s v="Female"/>
  </r>
  <r>
    <x v="476"/>
    <x v="8"/>
    <x v="54"/>
    <x v="1"/>
    <x v="128"/>
    <n v="26"/>
    <x v="2"/>
    <n v="2023"/>
    <x v="3"/>
    <x v="2"/>
    <x v="0"/>
    <x v="2"/>
    <x v="6"/>
    <s v="Male"/>
  </r>
  <r>
    <x v="477"/>
    <x v="2"/>
    <x v="117"/>
    <x v="3"/>
    <x v="128"/>
    <n v="78"/>
    <x v="12"/>
    <n v="2023"/>
    <x v="3"/>
    <x v="0"/>
    <x v="2"/>
    <x v="1"/>
    <x v="2"/>
    <s v="Male"/>
  </r>
  <r>
    <x v="478"/>
    <x v="6"/>
    <x v="79"/>
    <x v="4"/>
    <x v="129"/>
    <n v="132"/>
    <x v="12"/>
    <n v="2023"/>
    <x v="4"/>
    <x v="3"/>
    <x v="2"/>
    <x v="2"/>
    <x v="4"/>
    <s v="Female"/>
  </r>
  <r>
    <x v="479"/>
    <x v="9"/>
    <x v="38"/>
    <x v="4"/>
    <x v="130"/>
    <n v="68"/>
    <x v="20"/>
    <n v="2023"/>
    <x v="5"/>
    <x v="0"/>
    <x v="2"/>
    <x v="1"/>
    <x v="7"/>
    <s v="Female"/>
  </r>
  <r>
    <x v="480"/>
    <x v="1"/>
    <x v="19"/>
    <x v="2"/>
    <x v="131"/>
    <n v="129"/>
    <x v="2"/>
    <n v="2023"/>
    <x v="0"/>
    <x v="0"/>
    <x v="0"/>
    <x v="0"/>
    <x v="1"/>
    <s v="Male"/>
  </r>
  <r>
    <x v="481"/>
    <x v="12"/>
    <x v="99"/>
    <x v="4"/>
    <x v="131"/>
    <n v="115"/>
    <x v="0"/>
    <n v="2023"/>
    <x v="0"/>
    <x v="0"/>
    <x v="0"/>
    <x v="0"/>
    <x v="10"/>
    <s v="Female"/>
  </r>
  <r>
    <x v="482"/>
    <x v="12"/>
    <x v="107"/>
    <x v="4"/>
    <x v="131"/>
    <n v="128"/>
    <x v="10"/>
    <n v="2023"/>
    <x v="0"/>
    <x v="0"/>
    <x v="2"/>
    <x v="0"/>
    <x v="10"/>
    <s v="Female"/>
  </r>
  <r>
    <x v="483"/>
    <x v="12"/>
    <x v="146"/>
    <x v="2"/>
    <x v="131"/>
    <n v="90"/>
    <x v="14"/>
    <n v="2023"/>
    <x v="0"/>
    <x v="0"/>
    <x v="0"/>
    <x v="0"/>
    <x v="10"/>
    <s v="Female"/>
  </r>
  <r>
    <x v="484"/>
    <x v="8"/>
    <x v="77"/>
    <x v="3"/>
    <x v="132"/>
    <n v="39"/>
    <x v="19"/>
    <n v="2023"/>
    <x v="1"/>
    <x v="0"/>
    <x v="0"/>
    <x v="2"/>
    <x v="6"/>
    <s v="Male"/>
  </r>
  <r>
    <x v="485"/>
    <x v="6"/>
    <x v="90"/>
    <x v="4"/>
    <x v="132"/>
    <n v="132"/>
    <x v="16"/>
    <n v="2023"/>
    <x v="1"/>
    <x v="0"/>
    <x v="1"/>
    <x v="2"/>
    <x v="4"/>
    <s v="Female"/>
  </r>
  <r>
    <x v="486"/>
    <x v="4"/>
    <x v="147"/>
    <x v="4"/>
    <x v="132"/>
    <n v="170"/>
    <x v="11"/>
    <n v="2023"/>
    <x v="1"/>
    <x v="2"/>
    <x v="2"/>
    <x v="0"/>
    <x v="4"/>
    <s v="Female"/>
  </r>
  <r>
    <x v="487"/>
    <x v="12"/>
    <x v="86"/>
    <x v="2"/>
    <x v="132"/>
    <n v="42"/>
    <x v="2"/>
    <n v="2023"/>
    <x v="1"/>
    <x v="0"/>
    <x v="0"/>
    <x v="0"/>
    <x v="10"/>
    <s v="Female"/>
  </r>
  <r>
    <x v="488"/>
    <x v="3"/>
    <x v="23"/>
    <x v="3"/>
    <x v="133"/>
    <n v="37"/>
    <x v="9"/>
    <n v="2023"/>
    <x v="2"/>
    <x v="1"/>
    <x v="2"/>
    <x v="1"/>
    <x v="3"/>
    <s v="Female"/>
  </r>
  <r>
    <x v="489"/>
    <x v="1"/>
    <x v="146"/>
    <x v="3"/>
    <x v="133"/>
    <n v="88"/>
    <x v="2"/>
    <n v="2023"/>
    <x v="2"/>
    <x v="0"/>
    <x v="0"/>
    <x v="0"/>
    <x v="1"/>
    <s v="Male"/>
  </r>
  <r>
    <x v="490"/>
    <x v="14"/>
    <x v="47"/>
    <x v="3"/>
    <x v="133"/>
    <n v="80"/>
    <x v="25"/>
    <n v="2023"/>
    <x v="2"/>
    <x v="0"/>
    <x v="1"/>
    <x v="2"/>
    <x v="12"/>
    <s v="Female"/>
  </r>
  <r>
    <x v="491"/>
    <x v="6"/>
    <x v="44"/>
    <x v="0"/>
    <x v="134"/>
    <n v="123"/>
    <x v="6"/>
    <n v="2023"/>
    <x v="3"/>
    <x v="2"/>
    <x v="2"/>
    <x v="2"/>
    <x v="4"/>
    <s v="Female"/>
  </r>
  <r>
    <x v="492"/>
    <x v="10"/>
    <x v="122"/>
    <x v="4"/>
    <x v="134"/>
    <n v="31"/>
    <x v="20"/>
    <n v="2023"/>
    <x v="3"/>
    <x v="1"/>
    <x v="2"/>
    <x v="1"/>
    <x v="8"/>
    <s v="Male"/>
  </r>
  <r>
    <x v="493"/>
    <x v="13"/>
    <x v="58"/>
    <x v="1"/>
    <x v="134"/>
    <n v="205"/>
    <x v="10"/>
    <n v="2023"/>
    <x v="3"/>
    <x v="0"/>
    <x v="2"/>
    <x v="1"/>
    <x v="11"/>
    <s v="Male"/>
  </r>
  <r>
    <x v="494"/>
    <x v="7"/>
    <x v="89"/>
    <x v="3"/>
    <x v="135"/>
    <n v="123"/>
    <x v="20"/>
    <n v="2023"/>
    <x v="4"/>
    <x v="1"/>
    <x v="2"/>
    <x v="2"/>
    <x v="2"/>
    <s v="Female"/>
  </r>
  <r>
    <x v="495"/>
    <x v="4"/>
    <x v="148"/>
    <x v="4"/>
    <x v="135"/>
    <n v="123"/>
    <x v="12"/>
    <n v="2023"/>
    <x v="4"/>
    <x v="1"/>
    <x v="2"/>
    <x v="0"/>
    <x v="4"/>
    <s v="Female"/>
  </r>
  <r>
    <x v="496"/>
    <x v="14"/>
    <x v="149"/>
    <x v="4"/>
    <x v="135"/>
    <n v="36"/>
    <x v="1"/>
    <n v="2023"/>
    <x v="4"/>
    <x v="1"/>
    <x v="1"/>
    <x v="2"/>
    <x v="12"/>
    <s v="Female"/>
  </r>
  <r>
    <x v="497"/>
    <x v="7"/>
    <x v="22"/>
    <x v="4"/>
    <x v="135"/>
    <n v="116"/>
    <x v="12"/>
    <n v="2023"/>
    <x v="4"/>
    <x v="0"/>
    <x v="2"/>
    <x v="2"/>
    <x v="2"/>
    <s v="Female"/>
  </r>
  <r>
    <x v="498"/>
    <x v="9"/>
    <x v="86"/>
    <x v="4"/>
    <x v="135"/>
    <n v="40"/>
    <x v="0"/>
    <n v="2023"/>
    <x v="4"/>
    <x v="0"/>
    <x v="0"/>
    <x v="1"/>
    <x v="7"/>
    <s v="Female"/>
  </r>
  <r>
    <x v="499"/>
    <x v="9"/>
    <x v="146"/>
    <x v="3"/>
    <x v="135"/>
    <n v="40"/>
    <x v="9"/>
    <n v="2023"/>
    <x v="4"/>
    <x v="0"/>
    <x v="2"/>
    <x v="1"/>
    <x v="7"/>
    <s v="Female"/>
  </r>
  <r>
    <x v="500"/>
    <x v="13"/>
    <x v="50"/>
    <x v="2"/>
    <x v="136"/>
    <n v="82"/>
    <x v="9"/>
    <n v="2023"/>
    <x v="5"/>
    <x v="0"/>
    <x v="2"/>
    <x v="1"/>
    <x v="11"/>
    <s v="Male"/>
  </r>
  <r>
    <x v="501"/>
    <x v="8"/>
    <x v="6"/>
    <x v="0"/>
    <x v="136"/>
    <n v="62"/>
    <x v="7"/>
    <n v="2023"/>
    <x v="5"/>
    <x v="0"/>
    <x v="1"/>
    <x v="2"/>
    <x v="6"/>
    <s v="Male"/>
  </r>
  <r>
    <x v="502"/>
    <x v="3"/>
    <x v="64"/>
    <x v="0"/>
    <x v="136"/>
    <n v="135"/>
    <x v="10"/>
    <n v="2023"/>
    <x v="5"/>
    <x v="2"/>
    <x v="2"/>
    <x v="1"/>
    <x v="3"/>
    <s v="Female"/>
  </r>
  <r>
    <x v="503"/>
    <x v="13"/>
    <x v="50"/>
    <x v="1"/>
    <x v="136"/>
    <n v="155"/>
    <x v="15"/>
    <n v="2023"/>
    <x v="5"/>
    <x v="0"/>
    <x v="3"/>
    <x v="1"/>
    <x v="11"/>
    <s v="Male"/>
  </r>
  <r>
    <x v="504"/>
    <x v="6"/>
    <x v="62"/>
    <x v="2"/>
    <x v="136"/>
    <n v="37"/>
    <x v="0"/>
    <n v="2023"/>
    <x v="5"/>
    <x v="2"/>
    <x v="0"/>
    <x v="2"/>
    <x v="4"/>
    <s v="Female"/>
  </r>
  <r>
    <x v="505"/>
    <x v="13"/>
    <x v="38"/>
    <x v="3"/>
    <x v="137"/>
    <n v="56"/>
    <x v="7"/>
    <n v="2023"/>
    <x v="6"/>
    <x v="0"/>
    <x v="1"/>
    <x v="1"/>
    <x v="11"/>
    <s v="Male"/>
  </r>
  <r>
    <x v="506"/>
    <x v="13"/>
    <x v="58"/>
    <x v="3"/>
    <x v="137"/>
    <n v="185"/>
    <x v="13"/>
    <n v="2023"/>
    <x v="6"/>
    <x v="0"/>
    <x v="0"/>
    <x v="1"/>
    <x v="11"/>
    <s v="Male"/>
  </r>
  <r>
    <x v="507"/>
    <x v="0"/>
    <x v="71"/>
    <x v="2"/>
    <x v="138"/>
    <n v="145"/>
    <x v="14"/>
    <n v="2023"/>
    <x v="0"/>
    <x v="2"/>
    <x v="0"/>
    <x v="0"/>
    <x v="0"/>
    <s v="Male"/>
  </r>
  <r>
    <x v="508"/>
    <x v="7"/>
    <x v="101"/>
    <x v="0"/>
    <x v="138"/>
    <n v="116"/>
    <x v="27"/>
    <n v="2023"/>
    <x v="0"/>
    <x v="2"/>
    <x v="1"/>
    <x v="2"/>
    <x v="2"/>
    <s v="Female"/>
  </r>
  <r>
    <x v="509"/>
    <x v="6"/>
    <x v="150"/>
    <x v="4"/>
    <x v="138"/>
    <n v="45"/>
    <x v="18"/>
    <n v="2023"/>
    <x v="0"/>
    <x v="1"/>
    <x v="2"/>
    <x v="2"/>
    <x v="4"/>
    <s v="Female"/>
  </r>
  <r>
    <x v="510"/>
    <x v="4"/>
    <x v="11"/>
    <x v="3"/>
    <x v="139"/>
    <n v="35"/>
    <x v="14"/>
    <n v="2023"/>
    <x v="1"/>
    <x v="0"/>
    <x v="0"/>
    <x v="0"/>
    <x v="4"/>
    <s v="Female"/>
  </r>
  <r>
    <x v="511"/>
    <x v="9"/>
    <x v="50"/>
    <x v="0"/>
    <x v="139"/>
    <n v="100"/>
    <x v="5"/>
    <n v="2023"/>
    <x v="1"/>
    <x v="0"/>
    <x v="2"/>
    <x v="1"/>
    <x v="7"/>
    <s v="Female"/>
  </r>
  <r>
    <x v="512"/>
    <x v="9"/>
    <x v="63"/>
    <x v="2"/>
    <x v="140"/>
    <n v="125"/>
    <x v="8"/>
    <n v="2023"/>
    <x v="2"/>
    <x v="0"/>
    <x v="2"/>
    <x v="1"/>
    <x v="7"/>
    <s v="Female"/>
  </r>
  <r>
    <x v="513"/>
    <x v="6"/>
    <x v="104"/>
    <x v="4"/>
    <x v="140"/>
    <n v="120"/>
    <x v="35"/>
    <n v="2023"/>
    <x v="2"/>
    <x v="1"/>
    <x v="1"/>
    <x v="2"/>
    <x v="4"/>
    <s v="Female"/>
  </r>
  <r>
    <x v="514"/>
    <x v="11"/>
    <x v="30"/>
    <x v="1"/>
    <x v="140"/>
    <n v="180"/>
    <x v="2"/>
    <n v="2023"/>
    <x v="2"/>
    <x v="0"/>
    <x v="0"/>
    <x v="2"/>
    <x v="9"/>
    <s v="Female"/>
  </r>
  <r>
    <x v="515"/>
    <x v="5"/>
    <x v="47"/>
    <x v="0"/>
    <x v="140"/>
    <n v="44"/>
    <x v="35"/>
    <n v="2023"/>
    <x v="2"/>
    <x v="0"/>
    <x v="1"/>
    <x v="2"/>
    <x v="5"/>
    <s v="Female"/>
  </r>
  <r>
    <x v="516"/>
    <x v="10"/>
    <x v="48"/>
    <x v="4"/>
    <x v="140"/>
    <n v="86"/>
    <x v="6"/>
    <n v="2023"/>
    <x v="2"/>
    <x v="0"/>
    <x v="2"/>
    <x v="1"/>
    <x v="8"/>
    <s v="Male"/>
  </r>
  <r>
    <x v="517"/>
    <x v="6"/>
    <x v="32"/>
    <x v="4"/>
    <x v="141"/>
    <n v="120"/>
    <x v="17"/>
    <n v="2023"/>
    <x v="3"/>
    <x v="0"/>
    <x v="2"/>
    <x v="2"/>
    <x v="4"/>
    <s v="Female"/>
  </r>
  <r>
    <x v="518"/>
    <x v="3"/>
    <x v="30"/>
    <x v="1"/>
    <x v="141"/>
    <n v="100"/>
    <x v="20"/>
    <n v="2023"/>
    <x v="3"/>
    <x v="0"/>
    <x v="2"/>
    <x v="1"/>
    <x v="3"/>
    <s v="Female"/>
  </r>
  <r>
    <x v="519"/>
    <x v="3"/>
    <x v="145"/>
    <x v="1"/>
    <x v="142"/>
    <n v="108"/>
    <x v="14"/>
    <n v="2023"/>
    <x v="4"/>
    <x v="2"/>
    <x v="0"/>
    <x v="1"/>
    <x v="3"/>
    <s v="Female"/>
  </r>
  <r>
    <x v="520"/>
    <x v="14"/>
    <x v="121"/>
    <x v="1"/>
    <x v="142"/>
    <n v="46"/>
    <x v="19"/>
    <n v="2023"/>
    <x v="4"/>
    <x v="2"/>
    <x v="0"/>
    <x v="2"/>
    <x v="12"/>
    <s v="Female"/>
  </r>
  <r>
    <x v="521"/>
    <x v="7"/>
    <x v="75"/>
    <x v="4"/>
    <x v="142"/>
    <n v="210"/>
    <x v="12"/>
    <n v="2023"/>
    <x v="4"/>
    <x v="0"/>
    <x v="2"/>
    <x v="2"/>
    <x v="2"/>
    <s v="Female"/>
  </r>
  <r>
    <x v="522"/>
    <x v="12"/>
    <x v="56"/>
    <x v="2"/>
    <x v="143"/>
    <n v="54"/>
    <x v="4"/>
    <n v="2023"/>
    <x v="6"/>
    <x v="1"/>
    <x v="0"/>
    <x v="0"/>
    <x v="10"/>
    <s v="Female"/>
  </r>
  <r>
    <x v="523"/>
    <x v="5"/>
    <x v="52"/>
    <x v="4"/>
    <x v="143"/>
    <n v="115"/>
    <x v="2"/>
    <n v="2023"/>
    <x v="6"/>
    <x v="1"/>
    <x v="0"/>
    <x v="2"/>
    <x v="5"/>
    <s v="Female"/>
  </r>
  <r>
    <x v="524"/>
    <x v="11"/>
    <x v="4"/>
    <x v="1"/>
    <x v="144"/>
    <n v="100"/>
    <x v="30"/>
    <n v="2023"/>
    <x v="0"/>
    <x v="2"/>
    <x v="3"/>
    <x v="2"/>
    <x v="9"/>
    <s v="Female"/>
  </r>
  <r>
    <x v="525"/>
    <x v="2"/>
    <x v="29"/>
    <x v="4"/>
    <x v="144"/>
    <n v="38"/>
    <x v="5"/>
    <n v="2023"/>
    <x v="0"/>
    <x v="0"/>
    <x v="2"/>
    <x v="1"/>
    <x v="2"/>
    <s v="Male"/>
  </r>
  <r>
    <x v="526"/>
    <x v="12"/>
    <x v="13"/>
    <x v="2"/>
    <x v="145"/>
    <n v="120"/>
    <x v="17"/>
    <n v="2023"/>
    <x v="1"/>
    <x v="2"/>
    <x v="2"/>
    <x v="0"/>
    <x v="10"/>
    <s v="Female"/>
  </r>
  <r>
    <x v="527"/>
    <x v="9"/>
    <x v="13"/>
    <x v="2"/>
    <x v="145"/>
    <n v="120"/>
    <x v="17"/>
    <n v="2023"/>
    <x v="1"/>
    <x v="2"/>
    <x v="2"/>
    <x v="1"/>
    <x v="7"/>
    <s v="Female"/>
  </r>
  <r>
    <x v="528"/>
    <x v="1"/>
    <x v="87"/>
    <x v="1"/>
    <x v="145"/>
    <n v="29"/>
    <x v="5"/>
    <n v="2023"/>
    <x v="1"/>
    <x v="1"/>
    <x v="2"/>
    <x v="0"/>
    <x v="1"/>
    <s v="Male"/>
  </r>
  <r>
    <x v="529"/>
    <x v="10"/>
    <x v="111"/>
    <x v="1"/>
    <x v="146"/>
    <n v="25"/>
    <x v="20"/>
    <n v="2023"/>
    <x v="2"/>
    <x v="1"/>
    <x v="2"/>
    <x v="1"/>
    <x v="8"/>
    <s v="Male"/>
  </r>
  <r>
    <x v="530"/>
    <x v="13"/>
    <x v="1"/>
    <x v="4"/>
    <x v="147"/>
    <n v="116"/>
    <x v="11"/>
    <n v="2023"/>
    <x v="3"/>
    <x v="0"/>
    <x v="2"/>
    <x v="1"/>
    <x v="11"/>
    <s v="Male"/>
  </r>
  <r>
    <x v="531"/>
    <x v="1"/>
    <x v="58"/>
    <x v="2"/>
    <x v="148"/>
    <n v="132"/>
    <x v="12"/>
    <n v="2023"/>
    <x v="4"/>
    <x v="0"/>
    <x v="2"/>
    <x v="0"/>
    <x v="1"/>
    <s v="Male"/>
  </r>
  <r>
    <x v="532"/>
    <x v="10"/>
    <x v="44"/>
    <x v="4"/>
    <x v="149"/>
    <n v="90"/>
    <x v="8"/>
    <n v="2023"/>
    <x v="5"/>
    <x v="2"/>
    <x v="2"/>
    <x v="1"/>
    <x v="8"/>
    <s v="Male"/>
  </r>
  <r>
    <x v="533"/>
    <x v="7"/>
    <x v="118"/>
    <x v="0"/>
    <x v="149"/>
    <n v="87"/>
    <x v="17"/>
    <n v="2023"/>
    <x v="5"/>
    <x v="1"/>
    <x v="2"/>
    <x v="2"/>
    <x v="2"/>
    <s v="Female"/>
  </r>
  <r>
    <x v="534"/>
    <x v="6"/>
    <x v="52"/>
    <x v="4"/>
    <x v="149"/>
    <n v="140"/>
    <x v="18"/>
    <n v="2023"/>
    <x v="5"/>
    <x v="1"/>
    <x v="2"/>
    <x v="2"/>
    <x v="4"/>
    <s v="Female"/>
  </r>
  <r>
    <x v="535"/>
    <x v="8"/>
    <x v="77"/>
    <x v="4"/>
    <x v="149"/>
    <n v="164"/>
    <x v="14"/>
    <n v="2023"/>
    <x v="5"/>
    <x v="0"/>
    <x v="0"/>
    <x v="2"/>
    <x v="6"/>
    <s v="Male"/>
  </r>
  <r>
    <x v="536"/>
    <x v="5"/>
    <x v="15"/>
    <x v="2"/>
    <x v="150"/>
    <n v="180"/>
    <x v="11"/>
    <n v="2023"/>
    <x v="6"/>
    <x v="0"/>
    <x v="2"/>
    <x v="2"/>
    <x v="5"/>
    <s v="Female"/>
  </r>
  <r>
    <x v="537"/>
    <x v="14"/>
    <x v="75"/>
    <x v="3"/>
    <x v="151"/>
    <n v="22"/>
    <x v="17"/>
    <n v="2023"/>
    <x v="0"/>
    <x v="0"/>
    <x v="2"/>
    <x v="2"/>
    <x v="12"/>
    <s v="Female"/>
  </r>
  <r>
    <x v="538"/>
    <x v="4"/>
    <x v="52"/>
    <x v="0"/>
    <x v="151"/>
    <n v="82"/>
    <x v="5"/>
    <n v="2023"/>
    <x v="0"/>
    <x v="1"/>
    <x v="2"/>
    <x v="0"/>
    <x v="4"/>
    <s v="Female"/>
  </r>
  <r>
    <x v="539"/>
    <x v="0"/>
    <x v="56"/>
    <x v="2"/>
    <x v="151"/>
    <n v="100"/>
    <x v="19"/>
    <n v="2023"/>
    <x v="0"/>
    <x v="1"/>
    <x v="0"/>
    <x v="0"/>
    <x v="0"/>
    <s v="Male"/>
  </r>
  <r>
    <x v="540"/>
    <x v="8"/>
    <x v="51"/>
    <x v="4"/>
    <x v="152"/>
    <n v="52"/>
    <x v="7"/>
    <n v="2023"/>
    <x v="1"/>
    <x v="0"/>
    <x v="1"/>
    <x v="2"/>
    <x v="6"/>
    <s v="Male"/>
  </r>
  <r>
    <x v="541"/>
    <x v="8"/>
    <x v="110"/>
    <x v="0"/>
    <x v="153"/>
    <n v="84"/>
    <x v="19"/>
    <n v="2023"/>
    <x v="2"/>
    <x v="1"/>
    <x v="0"/>
    <x v="2"/>
    <x v="6"/>
    <s v="Male"/>
  </r>
  <r>
    <x v="542"/>
    <x v="8"/>
    <x v="73"/>
    <x v="0"/>
    <x v="153"/>
    <n v="37"/>
    <x v="10"/>
    <n v="2023"/>
    <x v="2"/>
    <x v="2"/>
    <x v="2"/>
    <x v="2"/>
    <x v="6"/>
    <s v="Male"/>
  </r>
  <r>
    <x v="543"/>
    <x v="11"/>
    <x v="119"/>
    <x v="2"/>
    <x v="154"/>
    <n v="190"/>
    <x v="9"/>
    <n v="2023"/>
    <x v="3"/>
    <x v="1"/>
    <x v="2"/>
    <x v="2"/>
    <x v="9"/>
    <s v="Female"/>
  </r>
  <r>
    <x v="544"/>
    <x v="6"/>
    <x v="127"/>
    <x v="1"/>
    <x v="154"/>
    <n v="66"/>
    <x v="7"/>
    <n v="2023"/>
    <x v="3"/>
    <x v="1"/>
    <x v="1"/>
    <x v="2"/>
    <x v="4"/>
    <s v="Female"/>
  </r>
  <r>
    <x v="545"/>
    <x v="1"/>
    <x v="95"/>
    <x v="4"/>
    <x v="155"/>
    <n v="116"/>
    <x v="23"/>
    <n v="2023"/>
    <x v="4"/>
    <x v="0"/>
    <x v="1"/>
    <x v="0"/>
    <x v="1"/>
    <s v="Male"/>
  </r>
  <r>
    <x v="546"/>
    <x v="12"/>
    <x v="67"/>
    <x v="3"/>
    <x v="155"/>
    <n v="28"/>
    <x v="10"/>
    <n v="2023"/>
    <x v="4"/>
    <x v="0"/>
    <x v="2"/>
    <x v="0"/>
    <x v="10"/>
    <s v="Female"/>
  </r>
  <r>
    <x v="547"/>
    <x v="4"/>
    <x v="6"/>
    <x v="4"/>
    <x v="155"/>
    <n v="120"/>
    <x v="13"/>
    <n v="2023"/>
    <x v="4"/>
    <x v="0"/>
    <x v="0"/>
    <x v="0"/>
    <x v="4"/>
    <s v="Female"/>
  </r>
  <r>
    <x v="548"/>
    <x v="2"/>
    <x v="130"/>
    <x v="2"/>
    <x v="155"/>
    <n v="56"/>
    <x v="8"/>
    <n v="2023"/>
    <x v="4"/>
    <x v="0"/>
    <x v="2"/>
    <x v="1"/>
    <x v="2"/>
    <s v="Male"/>
  </r>
  <r>
    <x v="549"/>
    <x v="2"/>
    <x v="8"/>
    <x v="0"/>
    <x v="155"/>
    <n v="170"/>
    <x v="11"/>
    <n v="2023"/>
    <x v="4"/>
    <x v="2"/>
    <x v="2"/>
    <x v="1"/>
    <x v="2"/>
    <s v="Male"/>
  </r>
  <r>
    <x v="550"/>
    <x v="12"/>
    <x v="76"/>
    <x v="2"/>
    <x v="156"/>
    <n v="200"/>
    <x v="4"/>
    <n v="2023"/>
    <x v="5"/>
    <x v="1"/>
    <x v="0"/>
    <x v="0"/>
    <x v="10"/>
    <s v="Female"/>
  </r>
  <r>
    <x v="551"/>
    <x v="4"/>
    <x v="35"/>
    <x v="4"/>
    <x v="157"/>
    <n v="50"/>
    <x v="18"/>
    <n v="2023"/>
    <x v="6"/>
    <x v="1"/>
    <x v="2"/>
    <x v="0"/>
    <x v="4"/>
    <s v="Female"/>
  </r>
  <r>
    <x v="552"/>
    <x v="0"/>
    <x v="32"/>
    <x v="3"/>
    <x v="157"/>
    <n v="112"/>
    <x v="20"/>
    <n v="2023"/>
    <x v="6"/>
    <x v="0"/>
    <x v="2"/>
    <x v="0"/>
    <x v="0"/>
    <s v="Male"/>
  </r>
  <r>
    <x v="553"/>
    <x v="14"/>
    <x v="99"/>
    <x v="4"/>
    <x v="158"/>
    <n v="39"/>
    <x v="4"/>
    <n v="2023"/>
    <x v="0"/>
    <x v="0"/>
    <x v="0"/>
    <x v="2"/>
    <x v="12"/>
    <s v="Female"/>
  </r>
  <r>
    <x v="554"/>
    <x v="6"/>
    <x v="106"/>
    <x v="3"/>
    <x v="158"/>
    <n v="38"/>
    <x v="4"/>
    <n v="2023"/>
    <x v="0"/>
    <x v="0"/>
    <x v="0"/>
    <x v="2"/>
    <x v="4"/>
    <s v="Female"/>
  </r>
  <r>
    <x v="555"/>
    <x v="5"/>
    <x v="4"/>
    <x v="4"/>
    <x v="159"/>
    <n v="84"/>
    <x v="1"/>
    <n v="2023"/>
    <x v="1"/>
    <x v="2"/>
    <x v="1"/>
    <x v="2"/>
    <x v="5"/>
    <s v="Female"/>
  </r>
  <r>
    <x v="556"/>
    <x v="8"/>
    <x v="146"/>
    <x v="2"/>
    <x v="160"/>
    <n v="82"/>
    <x v="8"/>
    <n v="2023"/>
    <x v="2"/>
    <x v="0"/>
    <x v="2"/>
    <x v="2"/>
    <x v="6"/>
    <s v="Male"/>
  </r>
  <r>
    <x v="557"/>
    <x v="14"/>
    <x v="151"/>
    <x v="3"/>
    <x v="160"/>
    <n v="37"/>
    <x v="41"/>
    <n v="2023"/>
    <x v="2"/>
    <x v="1"/>
    <x v="5"/>
    <x v="2"/>
    <x v="12"/>
    <s v="Female"/>
  </r>
  <r>
    <x v="558"/>
    <x v="2"/>
    <x v="49"/>
    <x v="1"/>
    <x v="161"/>
    <n v="87"/>
    <x v="7"/>
    <n v="2023"/>
    <x v="3"/>
    <x v="1"/>
    <x v="1"/>
    <x v="1"/>
    <x v="2"/>
    <s v="Male"/>
  </r>
  <r>
    <x v="559"/>
    <x v="2"/>
    <x v="21"/>
    <x v="1"/>
    <x v="161"/>
    <n v="75"/>
    <x v="34"/>
    <n v="2023"/>
    <x v="3"/>
    <x v="0"/>
    <x v="1"/>
    <x v="1"/>
    <x v="2"/>
    <s v="Male"/>
  </r>
  <r>
    <x v="560"/>
    <x v="5"/>
    <x v="24"/>
    <x v="4"/>
    <x v="161"/>
    <n v="32"/>
    <x v="2"/>
    <n v="2023"/>
    <x v="3"/>
    <x v="0"/>
    <x v="0"/>
    <x v="2"/>
    <x v="5"/>
    <s v="Female"/>
  </r>
  <r>
    <x v="561"/>
    <x v="13"/>
    <x v="8"/>
    <x v="2"/>
    <x v="161"/>
    <n v="33"/>
    <x v="35"/>
    <n v="2023"/>
    <x v="3"/>
    <x v="2"/>
    <x v="1"/>
    <x v="1"/>
    <x v="11"/>
    <s v="Male"/>
  </r>
  <r>
    <x v="562"/>
    <x v="13"/>
    <x v="9"/>
    <x v="0"/>
    <x v="161"/>
    <n v="76"/>
    <x v="18"/>
    <n v="2023"/>
    <x v="3"/>
    <x v="0"/>
    <x v="2"/>
    <x v="1"/>
    <x v="11"/>
    <s v="Male"/>
  </r>
  <r>
    <x v="563"/>
    <x v="11"/>
    <x v="33"/>
    <x v="0"/>
    <x v="161"/>
    <n v="117"/>
    <x v="4"/>
    <n v="2023"/>
    <x v="3"/>
    <x v="0"/>
    <x v="0"/>
    <x v="2"/>
    <x v="9"/>
    <s v="Female"/>
  </r>
  <r>
    <x v="564"/>
    <x v="5"/>
    <x v="143"/>
    <x v="2"/>
    <x v="162"/>
    <n v="70"/>
    <x v="17"/>
    <n v="2023"/>
    <x v="5"/>
    <x v="2"/>
    <x v="2"/>
    <x v="2"/>
    <x v="5"/>
    <s v="Female"/>
  </r>
  <r>
    <x v="565"/>
    <x v="5"/>
    <x v="33"/>
    <x v="1"/>
    <x v="162"/>
    <n v="37"/>
    <x v="34"/>
    <n v="2023"/>
    <x v="5"/>
    <x v="0"/>
    <x v="1"/>
    <x v="2"/>
    <x v="5"/>
    <s v="Female"/>
  </r>
  <r>
    <x v="566"/>
    <x v="2"/>
    <x v="74"/>
    <x v="0"/>
    <x v="162"/>
    <n v="46"/>
    <x v="1"/>
    <n v="2023"/>
    <x v="5"/>
    <x v="0"/>
    <x v="1"/>
    <x v="1"/>
    <x v="2"/>
    <s v="Male"/>
  </r>
  <r>
    <x v="567"/>
    <x v="7"/>
    <x v="38"/>
    <x v="4"/>
    <x v="162"/>
    <n v="136"/>
    <x v="13"/>
    <n v="2023"/>
    <x v="5"/>
    <x v="0"/>
    <x v="0"/>
    <x v="2"/>
    <x v="2"/>
    <s v="Female"/>
  </r>
  <r>
    <x v="568"/>
    <x v="2"/>
    <x v="114"/>
    <x v="0"/>
    <x v="163"/>
    <n v="44"/>
    <x v="19"/>
    <n v="2023"/>
    <x v="6"/>
    <x v="1"/>
    <x v="0"/>
    <x v="1"/>
    <x v="2"/>
    <s v="Male"/>
  </r>
  <r>
    <x v="569"/>
    <x v="9"/>
    <x v="41"/>
    <x v="3"/>
    <x v="163"/>
    <n v="69"/>
    <x v="35"/>
    <n v="2023"/>
    <x v="6"/>
    <x v="0"/>
    <x v="1"/>
    <x v="1"/>
    <x v="7"/>
    <s v="Female"/>
  </r>
  <r>
    <x v="570"/>
    <x v="7"/>
    <x v="142"/>
    <x v="2"/>
    <x v="164"/>
    <n v="86"/>
    <x v="19"/>
    <n v="2023"/>
    <x v="0"/>
    <x v="2"/>
    <x v="0"/>
    <x v="2"/>
    <x v="2"/>
    <s v="Female"/>
  </r>
  <r>
    <x v="571"/>
    <x v="5"/>
    <x v="114"/>
    <x v="4"/>
    <x v="164"/>
    <n v="68"/>
    <x v="14"/>
    <n v="2023"/>
    <x v="0"/>
    <x v="1"/>
    <x v="0"/>
    <x v="2"/>
    <x v="5"/>
    <s v="Female"/>
  </r>
  <r>
    <x v="572"/>
    <x v="8"/>
    <x v="122"/>
    <x v="2"/>
    <x v="165"/>
    <n v="21"/>
    <x v="20"/>
    <n v="2023"/>
    <x v="1"/>
    <x v="1"/>
    <x v="2"/>
    <x v="2"/>
    <x v="6"/>
    <s v="Male"/>
  </r>
  <r>
    <x v="573"/>
    <x v="2"/>
    <x v="116"/>
    <x v="1"/>
    <x v="165"/>
    <n v="190"/>
    <x v="21"/>
    <n v="2023"/>
    <x v="1"/>
    <x v="1"/>
    <x v="3"/>
    <x v="1"/>
    <x v="2"/>
    <s v="Male"/>
  </r>
  <r>
    <x v="574"/>
    <x v="5"/>
    <x v="121"/>
    <x v="0"/>
    <x v="165"/>
    <n v="176"/>
    <x v="12"/>
    <n v="2023"/>
    <x v="1"/>
    <x v="2"/>
    <x v="2"/>
    <x v="2"/>
    <x v="5"/>
    <s v="Female"/>
  </r>
  <r>
    <x v="575"/>
    <x v="11"/>
    <x v="7"/>
    <x v="4"/>
    <x v="165"/>
    <n v="172"/>
    <x v="10"/>
    <n v="2023"/>
    <x v="1"/>
    <x v="2"/>
    <x v="2"/>
    <x v="2"/>
    <x v="9"/>
    <s v="Female"/>
  </r>
  <r>
    <x v="576"/>
    <x v="4"/>
    <x v="128"/>
    <x v="2"/>
    <x v="165"/>
    <n v="84"/>
    <x v="14"/>
    <n v="2023"/>
    <x v="1"/>
    <x v="3"/>
    <x v="0"/>
    <x v="0"/>
    <x v="4"/>
    <s v="Female"/>
  </r>
  <r>
    <x v="577"/>
    <x v="1"/>
    <x v="35"/>
    <x v="3"/>
    <x v="166"/>
    <n v="42"/>
    <x v="13"/>
    <n v="2023"/>
    <x v="2"/>
    <x v="1"/>
    <x v="0"/>
    <x v="0"/>
    <x v="1"/>
    <s v="Male"/>
  </r>
  <r>
    <x v="578"/>
    <x v="7"/>
    <x v="47"/>
    <x v="1"/>
    <x v="166"/>
    <n v="70"/>
    <x v="37"/>
    <n v="2023"/>
    <x v="2"/>
    <x v="0"/>
    <x v="3"/>
    <x v="2"/>
    <x v="2"/>
    <s v="Female"/>
  </r>
  <r>
    <x v="579"/>
    <x v="9"/>
    <x v="10"/>
    <x v="3"/>
    <x v="166"/>
    <n v="60"/>
    <x v="12"/>
    <n v="2023"/>
    <x v="2"/>
    <x v="1"/>
    <x v="2"/>
    <x v="1"/>
    <x v="7"/>
    <s v="Female"/>
  </r>
  <r>
    <x v="580"/>
    <x v="6"/>
    <x v="58"/>
    <x v="1"/>
    <x v="166"/>
    <n v="84"/>
    <x v="8"/>
    <n v="2023"/>
    <x v="2"/>
    <x v="0"/>
    <x v="2"/>
    <x v="2"/>
    <x v="4"/>
    <s v="Female"/>
  </r>
  <r>
    <x v="581"/>
    <x v="8"/>
    <x v="24"/>
    <x v="0"/>
    <x v="167"/>
    <n v="68"/>
    <x v="22"/>
    <n v="2023"/>
    <x v="3"/>
    <x v="0"/>
    <x v="1"/>
    <x v="2"/>
    <x v="6"/>
    <s v="Male"/>
  </r>
  <r>
    <x v="582"/>
    <x v="13"/>
    <x v="16"/>
    <x v="0"/>
    <x v="167"/>
    <n v="44"/>
    <x v="1"/>
    <n v="2023"/>
    <x v="3"/>
    <x v="3"/>
    <x v="1"/>
    <x v="1"/>
    <x v="11"/>
    <s v="Male"/>
  </r>
  <r>
    <x v="583"/>
    <x v="6"/>
    <x v="9"/>
    <x v="3"/>
    <x v="168"/>
    <n v="99"/>
    <x v="23"/>
    <n v="2023"/>
    <x v="4"/>
    <x v="0"/>
    <x v="1"/>
    <x v="2"/>
    <x v="4"/>
    <s v="Female"/>
  </r>
  <r>
    <x v="584"/>
    <x v="7"/>
    <x v="73"/>
    <x v="3"/>
    <x v="169"/>
    <n v="66"/>
    <x v="23"/>
    <n v="2023"/>
    <x v="5"/>
    <x v="2"/>
    <x v="1"/>
    <x v="2"/>
    <x v="2"/>
    <s v="Female"/>
  </r>
  <r>
    <x v="585"/>
    <x v="3"/>
    <x v="6"/>
    <x v="3"/>
    <x v="169"/>
    <n v="102"/>
    <x v="14"/>
    <n v="2023"/>
    <x v="5"/>
    <x v="0"/>
    <x v="0"/>
    <x v="1"/>
    <x v="3"/>
    <s v="Female"/>
  </r>
  <r>
    <x v="586"/>
    <x v="8"/>
    <x v="31"/>
    <x v="0"/>
    <x v="170"/>
    <n v="129"/>
    <x v="10"/>
    <n v="2024"/>
    <x v="6"/>
    <x v="0"/>
    <x v="2"/>
    <x v="2"/>
    <x v="6"/>
    <s v="Male"/>
  </r>
  <r>
    <x v="587"/>
    <x v="12"/>
    <x v="117"/>
    <x v="3"/>
    <x v="170"/>
    <n v="80"/>
    <x v="18"/>
    <n v="2024"/>
    <x v="6"/>
    <x v="0"/>
    <x v="2"/>
    <x v="0"/>
    <x v="10"/>
    <s v="Female"/>
  </r>
  <r>
    <x v="588"/>
    <x v="3"/>
    <x v="39"/>
    <x v="3"/>
    <x v="170"/>
    <n v="54"/>
    <x v="32"/>
    <n v="2024"/>
    <x v="6"/>
    <x v="2"/>
    <x v="3"/>
    <x v="1"/>
    <x v="3"/>
    <s v="Female"/>
  </r>
  <r>
    <x v="589"/>
    <x v="13"/>
    <x v="112"/>
    <x v="0"/>
    <x v="170"/>
    <n v="116"/>
    <x v="18"/>
    <n v="2024"/>
    <x v="6"/>
    <x v="1"/>
    <x v="2"/>
    <x v="1"/>
    <x v="11"/>
    <s v="Male"/>
  </r>
  <r>
    <x v="590"/>
    <x v="13"/>
    <x v="88"/>
    <x v="2"/>
    <x v="170"/>
    <n v="102"/>
    <x v="22"/>
    <n v="2024"/>
    <x v="6"/>
    <x v="1"/>
    <x v="1"/>
    <x v="1"/>
    <x v="11"/>
    <s v="Male"/>
  </r>
  <r>
    <x v="591"/>
    <x v="10"/>
    <x v="3"/>
    <x v="1"/>
    <x v="170"/>
    <n v="140"/>
    <x v="12"/>
    <n v="2024"/>
    <x v="6"/>
    <x v="1"/>
    <x v="2"/>
    <x v="1"/>
    <x v="8"/>
    <s v="Male"/>
  </r>
  <r>
    <x v="592"/>
    <x v="7"/>
    <x v="50"/>
    <x v="1"/>
    <x v="171"/>
    <n v="104"/>
    <x v="5"/>
    <n v="2024"/>
    <x v="0"/>
    <x v="0"/>
    <x v="2"/>
    <x v="2"/>
    <x v="2"/>
    <s v="Female"/>
  </r>
  <r>
    <x v="593"/>
    <x v="10"/>
    <x v="12"/>
    <x v="3"/>
    <x v="171"/>
    <n v="81"/>
    <x v="5"/>
    <n v="2024"/>
    <x v="0"/>
    <x v="1"/>
    <x v="2"/>
    <x v="1"/>
    <x v="8"/>
    <s v="Male"/>
  </r>
  <r>
    <x v="594"/>
    <x v="6"/>
    <x v="66"/>
    <x v="4"/>
    <x v="172"/>
    <n v="140"/>
    <x v="21"/>
    <n v="2024"/>
    <x v="2"/>
    <x v="0"/>
    <x v="3"/>
    <x v="2"/>
    <x v="4"/>
    <s v="Female"/>
  </r>
  <r>
    <x v="595"/>
    <x v="1"/>
    <x v="82"/>
    <x v="0"/>
    <x v="173"/>
    <n v="120"/>
    <x v="8"/>
    <n v="2024"/>
    <x v="3"/>
    <x v="2"/>
    <x v="2"/>
    <x v="0"/>
    <x v="1"/>
    <s v="Male"/>
  </r>
  <r>
    <x v="596"/>
    <x v="6"/>
    <x v="2"/>
    <x v="3"/>
    <x v="173"/>
    <n v="41"/>
    <x v="22"/>
    <n v="2024"/>
    <x v="3"/>
    <x v="0"/>
    <x v="1"/>
    <x v="2"/>
    <x v="4"/>
    <s v="Female"/>
  </r>
  <r>
    <x v="597"/>
    <x v="4"/>
    <x v="3"/>
    <x v="3"/>
    <x v="173"/>
    <n v="116"/>
    <x v="24"/>
    <n v="2024"/>
    <x v="3"/>
    <x v="1"/>
    <x v="3"/>
    <x v="0"/>
    <x v="4"/>
    <s v="Female"/>
  </r>
  <r>
    <x v="598"/>
    <x v="0"/>
    <x v="9"/>
    <x v="0"/>
    <x v="174"/>
    <n v="70"/>
    <x v="3"/>
    <n v="2024"/>
    <x v="4"/>
    <x v="0"/>
    <x v="1"/>
    <x v="0"/>
    <x v="0"/>
    <s v="Male"/>
  </r>
  <r>
    <x v="599"/>
    <x v="10"/>
    <x v="143"/>
    <x v="2"/>
    <x v="174"/>
    <n v="42"/>
    <x v="14"/>
    <n v="2024"/>
    <x v="4"/>
    <x v="2"/>
    <x v="0"/>
    <x v="1"/>
    <x v="8"/>
    <s v="Male"/>
  </r>
  <r>
    <x v="600"/>
    <x v="4"/>
    <x v="71"/>
    <x v="1"/>
    <x v="175"/>
    <n v="112"/>
    <x v="14"/>
    <n v="2024"/>
    <x v="5"/>
    <x v="2"/>
    <x v="0"/>
    <x v="0"/>
    <x v="4"/>
    <s v="Female"/>
  </r>
  <r>
    <x v="601"/>
    <x v="3"/>
    <x v="99"/>
    <x v="3"/>
    <x v="175"/>
    <n v="20"/>
    <x v="14"/>
    <n v="2024"/>
    <x v="5"/>
    <x v="0"/>
    <x v="0"/>
    <x v="1"/>
    <x v="3"/>
    <s v="Female"/>
  </r>
  <r>
    <x v="602"/>
    <x v="8"/>
    <x v="117"/>
    <x v="2"/>
    <x v="176"/>
    <n v="110"/>
    <x v="4"/>
    <n v="2024"/>
    <x v="6"/>
    <x v="0"/>
    <x v="0"/>
    <x v="2"/>
    <x v="6"/>
    <s v="Male"/>
  </r>
  <r>
    <x v="603"/>
    <x v="5"/>
    <x v="4"/>
    <x v="2"/>
    <x v="176"/>
    <n v="39"/>
    <x v="19"/>
    <n v="2024"/>
    <x v="6"/>
    <x v="2"/>
    <x v="0"/>
    <x v="2"/>
    <x v="5"/>
    <s v="Female"/>
  </r>
  <r>
    <x v="604"/>
    <x v="8"/>
    <x v="113"/>
    <x v="0"/>
    <x v="176"/>
    <n v="76"/>
    <x v="14"/>
    <n v="2024"/>
    <x v="6"/>
    <x v="0"/>
    <x v="0"/>
    <x v="2"/>
    <x v="6"/>
    <s v="Male"/>
  </r>
  <r>
    <x v="605"/>
    <x v="1"/>
    <x v="54"/>
    <x v="0"/>
    <x v="176"/>
    <n v="40"/>
    <x v="13"/>
    <n v="2024"/>
    <x v="6"/>
    <x v="2"/>
    <x v="0"/>
    <x v="0"/>
    <x v="1"/>
    <s v="Male"/>
  </r>
  <r>
    <x v="606"/>
    <x v="8"/>
    <x v="143"/>
    <x v="3"/>
    <x v="176"/>
    <n v="42"/>
    <x v="4"/>
    <n v="2024"/>
    <x v="6"/>
    <x v="2"/>
    <x v="0"/>
    <x v="2"/>
    <x v="6"/>
    <s v="Male"/>
  </r>
  <r>
    <x v="607"/>
    <x v="2"/>
    <x v="106"/>
    <x v="4"/>
    <x v="177"/>
    <n v="215"/>
    <x v="8"/>
    <n v="2024"/>
    <x v="0"/>
    <x v="0"/>
    <x v="2"/>
    <x v="1"/>
    <x v="2"/>
    <s v="Male"/>
  </r>
  <r>
    <x v="608"/>
    <x v="9"/>
    <x v="11"/>
    <x v="4"/>
    <x v="178"/>
    <n v="130"/>
    <x v="7"/>
    <n v="2024"/>
    <x v="1"/>
    <x v="0"/>
    <x v="1"/>
    <x v="1"/>
    <x v="7"/>
    <s v="Female"/>
  </r>
  <r>
    <x v="609"/>
    <x v="11"/>
    <x v="143"/>
    <x v="4"/>
    <x v="178"/>
    <n v="190"/>
    <x v="16"/>
    <n v="2024"/>
    <x v="1"/>
    <x v="2"/>
    <x v="1"/>
    <x v="2"/>
    <x v="9"/>
    <s v="Female"/>
  </r>
  <r>
    <x v="610"/>
    <x v="4"/>
    <x v="85"/>
    <x v="2"/>
    <x v="178"/>
    <n v="164"/>
    <x v="0"/>
    <n v="2024"/>
    <x v="1"/>
    <x v="1"/>
    <x v="0"/>
    <x v="0"/>
    <x v="4"/>
    <s v="Female"/>
  </r>
  <r>
    <x v="611"/>
    <x v="14"/>
    <x v="37"/>
    <x v="1"/>
    <x v="179"/>
    <n v="76"/>
    <x v="14"/>
    <n v="2024"/>
    <x v="2"/>
    <x v="1"/>
    <x v="0"/>
    <x v="2"/>
    <x v="12"/>
    <s v="Female"/>
  </r>
  <r>
    <x v="612"/>
    <x v="2"/>
    <x v="21"/>
    <x v="1"/>
    <x v="180"/>
    <n v="87"/>
    <x v="4"/>
    <n v="2024"/>
    <x v="3"/>
    <x v="0"/>
    <x v="0"/>
    <x v="1"/>
    <x v="2"/>
    <s v="Male"/>
  </r>
  <r>
    <x v="613"/>
    <x v="7"/>
    <x v="64"/>
    <x v="4"/>
    <x v="180"/>
    <n v="84"/>
    <x v="4"/>
    <n v="2024"/>
    <x v="3"/>
    <x v="2"/>
    <x v="0"/>
    <x v="2"/>
    <x v="2"/>
    <s v="Female"/>
  </r>
  <r>
    <x v="614"/>
    <x v="10"/>
    <x v="59"/>
    <x v="3"/>
    <x v="180"/>
    <n v="114"/>
    <x v="10"/>
    <n v="2024"/>
    <x v="3"/>
    <x v="0"/>
    <x v="2"/>
    <x v="1"/>
    <x v="8"/>
    <s v="Male"/>
  </r>
  <r>
    <x v="615"/>
    <x v="9"/>
    <x v="53"/>
    <x v="1"/>
    <x v="181"/>
    <n v="56"/>
    <x v="10"/>
    <n v="2024"/>
    <x v="4"/>
    <x v="0"/>
    <x v="2"/>
    <x v="1"/>
    <x v="7"/>
    <s v="Female"/>
  </r>
  <r>
    <x v="616"/>
    <x v="14"/>
    <x v="147"/>
    <x v="2"/>
    <x v="181"/>
    <n v="27"/>
    <x v="20"/>
    <n v="2024"/>
    <x v="4"/>
    <x v="2"/>
    <x v="2"/>
    <x v="2"/>
    <x v="12"/>
    <s v="Female"/>
  </r>
  <r>
    <x v="617"/>
    <x v="1"/>
    <x v="7"/>
    <x v="0"/>
    <x v="182"/>
    <n v="84"/>
    <x v="4"/>
    <n v="2024"/>
    <x v="5"/>
    <x v="2"/>
    <x v="0"/>
    <x v="0"/>
    <x v="1"/>
    <s v="Male"/>
  </r>
  <r>
    <x v="618"/>
    <x v="7"/>
    <x v="57"/>
    <x v="2"/>
    <x v="182"/>
    <n v="72"/>
    <x v="8"/>
    <n v="2024"/>
    <x v="5"/>
    <x v="1"/>
    <x v="2"/>
    <x v="2"/>
    <x v="2"/>
    <s v="Female"/>
  </r>
  <r>
    <x v="619"/>
    <x v="2"/>
    <x v="75"/>
    <x v="3"/>
    <x v="183"/>
    <n v="126"/>
    <x v="18"/>
    <n v="2024"/>
    <x v="6"/>
    <x v="0"/>
    <x v="2"/>
    <x v="1"/>
    <x v="2"/>
    <s v="Male"/>
  </r>
  <r>
    <x v="620"/>
    <x v="1"/>
    <x v="24"/>
    <x v="2"/>
    <x v="184"/>
    <n v="88"/>
    <x v="0"/>
    <n v="2024"/>
    <x v="0"/>
    <x v="0"/>
    <x v="0"/>
    <x v="0"/>
    <x v="1"/>
    <s v="Male"/>
  </r>
  <r>
    <x v="621"/>
    <x v="0"/>
    <x v="39"/>
    <x v="2"/>
    <x v="184"/>
    <n v="124"/>
    <x v="19"/>
    <n v="2024"/>
    <x v="0"/>
    <x v="2"/>
    <x v="0"/>
    <x v="0"/>
    <x v="0"/>
    <s v="Male"/>
  </r>
  <r>
    <x v="622"/>
    <x v="13"/>
    <x v="65"/>
    <x v="2"/>
    <x v="185"/>
    <n v="84"/>
    <x v="27"/>
    <n v="2024"/>
    <x v="1"/>
    <x v="1"/>
    <x v="1"/>
    <x v="1"/>
    <x v="11"/>
    <s v="Male"/>
  </r>
  <r>
    <x v="623"/>
    <x v="9"/>
    <x v="114"/>
    <x v="3"/>
    <x v="185"/>
    <n v="80"/>
    <x v="34"/>
    <n v="2024"/>
    <x v="1"/>
    <x v="1"/>
    <x v="1"/>
    <x v="1"/>
    <x v="7"/>
    <s v="Female"/>
  </r>
  <r>
    <x v="624"/>
    <x v="12"/>
    <x v="28"/>
    <x v="3"/>
    <x v="186"/>
    <n v="176"/>
    <x v="2"/>
    <n v="2024"/>
    <x v="2"/>
    <x v="0"/>
    <x v="0"/>
    <x v="0"/>
    <x v="10"/>
    <s v="Female"/>
  </r>
  <r>
    <x v="625"/>
    <x v="0"/>
    <x v="77"/>
    <x v="4"/>
    <x v="187"/>
    <n v="84"/>
    <x v="10"/>
    <n v="2024"/>
    <x v="3"/>
    <x v="0"/>
    <x v="2"/>
    <x v="0"/>
    <x v="0"/>
    <s v="Male"/>
  </r>
  <r>
    <x v="626"/>
    <x v="1"/>
    <x v="111"/>
    <x v="4"/>
    <x v="187"/>
    <n v="164"/>
    <x v="3"/>
    <n v="2024"/>
    <x v="3"/>
    <x v="1"/>
    <x v="1"/>
    <x v="0"/>
    <x v="1"/>
    <s v="Male"/>
  </r>
  <r>
    <x v="627"/>
    <x v="14"/>
    <x v="66"/>
    <x v="0"/>
    <x v="187"/>
    <n v="132"/>
    <x v="22"/>
    <n v="2024"/>
    <x v="3"/>
    <x v="0"/>
    <x v="1"/>
    <x v="2"/>
    <x v="12"/>
    <s v="Female"/>
  </r>
  <r>
    <x v="628"/>
    <x v="9"/>
    <x v="152"/>
    <x v="2"/>
    <x v="188"/>
    <n v="27"/>
    <x v="18"/>
    <n v="2024"/>
    <x v="4"/>
    <x v="1"/>
    <x v="2"/>
    <x v="1"/>
    <x v="7"/>
    <s v="Female"/>
  </r>
  <r>
    <x v="629"/>
    <x v="1"/>
    <x v="108"/>
    <x v="3"/>
    <x v="188"/>
    <n v="27"/>
    <x v="12"/>
    <n v="2024"/>
    <x v="4"/>
    <x v="2"/>
    <x v="2"/>
    <x v="0"/>
    <x v="1"/>
    <s v="Male"/>
  </r>
  <r>
    <x v="630"/>
    <x v="1"/>
    <x v="110"/>
    <x v="1"/>
    <x v="188"/>
    <n v="20"/>
    <x v="34"/>
    <n v="2024"/>
    <x v="4"/>
    <x v="1"/>
    <x v="1"/>
    <x v="0"/>
    <x v="1"/>
    <s v="Male"/>
  </r>
  <r>
    <x v="631"/>
    <x v="9"/>
    <x v="103"/>
    <x v="3"/>
    <x v="189"/>
    <n v="112"/>
    <x v="24"/>
    <n v="2024"/>
    <x v="5"/>
    <x v="2"/>
    <x v="3"/>
    <x v="1"/>
    <x v="7"/>
    <s v="Female"/>
  </r>
  <r>
    <x v="632"/>
    <x v="3"/>
    <x v="73"/>
    <x v="2"/>
    <x v="189"/>
    <n v="60"/>
    <x v="24"/>
    <n v="2024"/>
    <x v="5"/>
    <x v="2"/>
    <x v="3"/>
    <x v="1"/>
    <x v="3"/>
    <s v="Female"/>
  </r>
  <r>
    <x v="633"/>
    <x v="3"/>
    <x v="111"/>
    <x v="2"/>
    <x v="190"/>
    <n v="102"/>
    <x v="1"/>
    <n v="2024"/>
    <x v="6"/>
    <x v="1"/>
    <x v="1"/>
    <x v="1"/>
    <x v="3"/>
    <s v="Female"/>
  </r>
  <r>
    <x v="634"/>
    <x v="4"/>
    <x v="19"/>
    <x v="2"/>
    <x v="190"/>
    <n v="38"/>
    <x v="18"/>
    <n v="2024"/>
    <x v="6"/>
    <x v="0"/>
    <x v="2"/>
    <x v="0"/>
    <x v="4"/>
    <s v="Female"/>
  </r>
  <r>
    <x v="635"/>
    <x v="9"/>
    <x v="153"/>
    <x v="0"/>
    <x v="190"/>
    <n v="82"/>
    <x v="19"/>
    <n v="2024"/>
    <x v="6"/>
    <x v="1"/>
    <x v="0"/>
    <x v="1"/>
    <x v="7"/>
    <s v="Female"/>
  </r>
  <r>
    <x v="636"/>
    <x v="3"/>
    <x v="69"/>
    <x v="1"/>
    <x v="191"/>
    <n v="125"/>
    <x v="14"/>
    <n v="2024"/>
    <x v="2"/>
    <x v="0"/>
    <x v="0"/>
    <x v="1"/>
    <x v="3"/>
    <s v="Female"/>
  </r>
  <r>
    <x v="637"/>
    <x v="11"/>
    <x v="154"/>
    <x v="4"/>
    <x v="192"/>
    <n v="72"/>
    <x v="20"/>
    <n v="2024"/>
    <x v="3"/>
    <x v="4"/>
    <x v="2"/>
    <x v="2"/>
    <x v="9"/>
    <s v="Female"/>
  </r>
  <r>
    <x v="638"/>
    <x v="1"/>
    <x v="87"/>
    <x v="4"/>
    <x v="192"/>
    <n v="195"/>
    <x v="17"/>
    <n v="2024"/>
    <x v="3"/>
    <x v="1"/>
    <x v="2"/>
    <x v="0"/>
    <x v="1"/>
    <s v="Male"/>
  </r>
  <r>
    <x v="639"/>
    <x v="9"/>
    <x v="7"/>
    <x v="4"/>
    <x v="193"/>
    <n v="160"/>
    <x v="7"/>
    <n v="2024"/>
    <x v="4"/>
    <x v="2"/>
    <x v="1"/>
    <x v="1"/>
    <x v="7"/>
    <s v="Female"/>
  </r>
  <r>
    <x v="640"/>
    <x v="12"/>
    <x v="29"/>
    <x v="0"/>
    <x v="193"/>
    <n v="78"/>
    <x v="16"/>
    <n v="2024"/>
    <x v="4"/>
    <x v="0"/>
    <x v="1"/>
    <x v="0"/>
    <x v="10"/>
    <s v="Female"/>
  </r>
  <r>
    <x v="641"/>
    <x v="0"/>
    <x v="83"/>
    <x v="0"/>
    <x v="194"/>
    <n v="70"/>
    <x v="5"/>
    <n v="2024"/>
    <x v="5"/>
    <x v="0"/>
    <x v="2"/>
    <x v="0"/>
    <x v="0"/>
    <s v="Male"/>
  </r>
  <r>
    <x v="642"/>
    <x v="2"/>
    <x v="32"/>
    <x v="3"/>
    <x v="194"/>
    <n v="105"/>
    <x v="18"/>
    <n v="2024"/>
    <x v="5"/>
    <x v="0"/>
    <x v="2"/>
    <x v="1"/>
    <x v="2"/>
    <s v="Male"/>
  </r>
  <r>
    <x v="643"/>
    <x v="0"/>
    <x v="99"/>
    <x v="3"/>
    <x v="195"/>
    <n v="78"/>
    <x v="7"/>
    <n v="2024"/>
    <x v="6"/>
    <x v="0"/>
    <x v="1"/>
    <x v="0"/>
    <x v="0"/>
    <s v="Male"/>
  </r>
  <r>
    <x v="644"/>
    <x v="13"/>
    <x v="67"/>
    <x v="3"/>
    <x v="196"/>
    <n v="205"/>
    <x v="5"/>
    <n v="2024"/>
    <x v="1"/>
    <x v="0"/>
    <x v="2"/>
    <x v="1"/>
    <x v="11"/>
    <s v="Male"/>
  </r>
  <r>
    <x v="645"/>
    <x v="8"/>
    <x v="150"/>
    <x v="3"/>
    <x v="196"/>
    <n v="78"/>
    <x v="34"/>
    <n v="2024"/>
    <x v="1"/>
    <x v="1"/>
    <x v="1"/>
    <x v="2"/>
    <x v="6"/>
    <s v="Male"/>
  </r>
  <r>
    <x v="646"/>
    <x v="1"/>
    <x v="20"/>
    <x v="4"/>
    <x v="196"/>
    <n v="38"/>
    <x v="14"/>
    <n v="2024"/>
    <x v="1"/>
    <x v="2"/>
    <x v="0"/>
    <x v="0"/>
    <x v="1"/>
    <s v="Male"/>
  </r>
  <r>
    <x v="647"/>
    <x v="13"/>
    <x v="147"/>
    <x v="2"/>
    <x v="196"/>
    <n v="92"/>
    <x v="42"/>
    <n v="2024"/>
    <x v="1"/>
    <x v="2"/>
    <x v="3"/>
    <x v="1"/>
    <x v="11"/>
    <s v="Male"/>
  </r>
  <r>
    <x v="648"/>
    <x v="14"/>
    <x v="155"/>
    <x v="0"/>
    <x v="196"/>
    <n v="36"/>
    <x v="2"/>
    <n v="2024"/>
    <x v="1"/>
    <x v="1"/>
    <x v="0"/>
    <x v="2"/>
    <x v="12"/>
    <s v="Female"/>
  </r>
  <r>
    <x v="649"/>
    <x v="12"/>
    <x v="136"/>
    <x v="1"/>
    <x v="196"/>
    <n v="76"/>
    <x v="5"/>
    <n v="2024"/>
    <x v="1"/>
    <x v="1"/>
    <x v="2"/>
    <x v="0"/>
    <x v="10"/>
    <s v="Female"/>
  </r>
  <r>
    <x v="650"/>
    <x v="5"/>
    <x v="51"/>
    <x v="0"/>
    <x v="197"/>
    <n v="170"/>
    <x v="8"/>
    <n v="2024"/>
    <x v="3"/>
    <x v="0"/>
    <x v="2"/>
    <x v="2"/>
    <x v="5"/>
    <s v="Female"/>
  </r>
  <r>
    <x v="651"/>
    <x v="13"/>
    <x v="6"/>
    <x v="4"/>
    <x v="198"/>
    <n v="117"/>
    <x v="2"/>
    <n v="2024"/>
    <x v="4"/>
    <x v="0"/>
    <x v="0"/>
    <x v="1"/>
    <x v="11"/>
    <s v="Male"/>
  </r>
  <r>
    <x v="652"/>
    <x v="10"/>
    <x v="53"/>
    <x v="1"/>
    <x v="198"/>
    <n v="20"/>
    <x v="12"/>
    <n v="2024"/>
    <x v="4"/>
    <x v="0"/>
    <x v="2"/>
    <x v="1"/>
    <x v="8"/>
    <s v="Male"/>
  </r>
  <r>
    <x v="653"/>
    <x v="12"/>
    <x v="75"/>
    <x v="4"/>
    <x v="198"/>
    <n v="99"/>
    <x v="17"/>
    <n v="2024"/>
    <x v="4"/>
    <x v="0"/>
    <x v="2"/>
    <x v="0"/>
    <x v="10"/>
    <s v="Female"/>
  </r>
  <r>
    <x v="654"/>
    <x v="6"/>
    <x v="156"/>
    <x v="1"/>
    <x v="199"/>
    <n v="105"/>
    <x v="1"/>
    <n v="2024"/>
    <x v="5"/>
    <x v="0"/>
    <x v="1"/>
    <x v="2"/>
    <x v="4"/>
    <s v="Female"/>
  </r>
  <r>
    <x v="655"/>
    <x v="7"/>
    <x v="111"/>
    <x v="3"/>
    <x v="199"/>
    <n v="195"/>
    <x v="7"/>
    <n v="2024"/>
    <x v="5"/>
    <x v="1"/>
    <x v="1"/>
    <x v="2"/>
    <x v="2"/>
    <s v="Female"/>
  </r>
  <r>
    <x v="656"/>
    <x v="2"/>
    <x v="108"/>
    <x v="1"/>
    <x v="200"/>
    <n v="152"/>
    <x v="19"/>
    <n v="2024"/>
    <x v="6"/>
    <x v="2"/>
    <x v="0"/>
    <x v="1"/>
    <x v="2"/>
    <s v="Male"/>
  </r>
  <r>
    <x v="657"/>
    <x v="7"/>
    <x v="35"/>
    <x v="3"/>
    <x v="201"/>
    <n v="195"/>
    <x v="0"/>
    <n v="2024"/>
    <x v="0"/>
    <x v="1"/>
    <x v="0"/>
    <x v="2"/>
    <x v="2"/>
    <s v="Female"/>
  </r>
  <r>
    <x v="658"/>
    <x v="5"/>
    <x v="113"/>
    <x v="2"/>
    <x v="201"/>
    <n v="70"/>
    <x v="6"/>
    <n v="2024"/>
    <x v="0"/>
    <x v="0"/>
    <x v="2"/>
    <x v="2"/>
    <x v="5"/>
    <s v="Female"/>
  </r>
  <r>
    <x v="659"/>
    <x v="12"/>
    <x v="157"/>
    <x v="2"/>
    <x v="201"/>
    <n v="22"/>
    <x v="8"/>
    <n v="2024"/>
    <x v="0"/>
    <x v="3"/>
    <x v="2"/>
    <x v="0"/>
    <x v="10"/>
    <s v="Female"/>
  </r>
  <r>
    <x v="660"/>
    <x v="4"/>
    <x v="86"/>
    <x v="4"/>
    <x v="202"/>
    <n v="40"/>
    <x v="16"/>
    <n v="2024"/>
    <x v="1"/>
    <x v="0"/>
    <x v="1"/>
    <x v="0"/>
    <x v="4"/>
    <s v="Female"/>
  </r>
  <r>
    <x v="661"/>
    <x v="4"/>
    <x v="55"/>
    <x v="1"/>
    <x v="203"/>
    <n v="54"/>
    <x v="11"/>
    <n v="2024"/>
    <x v="2"/>
    <x v="1"/>
    <x v="2"/>
    <x v="0"/>
    <x v="4"/>
    <s v="Female"/>
  </r>
  <r>
    <x v="662"/>
    <x v="1"/>
    <x v="49"/>
    <x v="1"/>
    <x v="203"/>
    <n v="60"/>
    <x v="25"/>
    <n v="2024"/>
    <x v="2"/>
    <x v="1"/>
    <x v="1"/>
    <x v="0"/>
    <x v="1"/>
    <s v="Male"/>
  </r>
  <r>
    <x v="663"/>
    <x v="11"/>
    <x v="134"/>
    <x v="0"/>
    <x v="204"/>
    <n v="58"/>
    <x v="19"/>
    <n v="2024"/>
    <x v="4"/>
    <x v="0"/>
    <x v="0"/>
    <x v="2"/>
    <x v="9"/>
    <s v="Female"/>
  </r>
  <r>
    <x v="664"/>
    <x v="6"/>
    <x v="29"/>
    <x v="4"/>
    <x v="204"/>
    <n v="220"/>
    <x v="2"/>
    <n v="2024"/>
    <x v="4"/>
    <x v="0"/>
    <x v="0"/>
    <x v="2"/>
    <x v="4"/>
    <s v="Female"/>
  </r>
  <r>
    <x v="665"/>
    <x v="0"/>
    <x v="47"/>
    <x v="4"/>
    <x v="204"/>
    <n v="27"/>
    <x v="6"/>
    <n v="2024"/>
    <x v="4"/>
    <x v="0"/>
    <x v="2"/>
    <x v="0"/>
    <x v="0"/>
    <s v="Male"/>
  </r>
  <r>
    <x v="666"/>
    <x v="7"/>
    <x v="33"/>
    <x v="4"/>
    <x v="205"/>
    <n v="26"/>
    <x v="12"/>
    <n v="2024"/>
    <x v="6"/>
    <x v="0"/>
    <x v="2"/>
    <x v="2"/>
    <x v="2"/>
    <s v="Female"/>
  </r>
  <r>
    <x v="667"/>
    <x v="10"/>
    <x v="104"/>
    <x v="3"/>
    <x v="206"/>
    <n v="160"/>
    <x v="2"/>
    <n v="2024"/>
    <x v="0"/>
    <x v="1"/>
    <x v="0"/>
    <x v="1"/>
    <x v="8"/>
    <s v="Male"/>
  </r>
  <r>
    <x v="668"/>
    <x v="12"/>
    <x v="6"/>
    <x v="1"/>
    <x v="206"/>
    <n v="200"/>
    <x v="0"/>
    <n v="2024"/>
    <x v="0"/>
    <x v="0"/>
    <x v="0"/>
    <x v="0"/>
    <x v="10"/>
    <s v="Female"/>
  </r>
  <r>
    <x v="669"/>
    <x v="12"/>
    <x v="23"/>
    <x v="0"/>
    <x v="207"/>
    <n v="135"/>
    <x v="0"/>
    <n v="2024"/>
    <x v="3"/>
    <x v="1"/>
    <x v="0"/>
    <x v="0"/>
    <x v="10"/>
    <s v="Female"/>
  </r>
  <r>
    <x v="670"/>
    <x v="0"/>
    <x v="3"/>
    <x v="1"/>
    <x v="208"/>
    <n v="22"/>
    <x v="29"/>
    <n v="2024"/>
    <x v="4"/>
    <x v="1"/>
    <x v="3"/>
    <x v="0"/>
    <x v="0"/>
    <s v="Male"/>
  </r>
  <r>
    <x v="671"/>
    <x v="6"/>
    <x v="34"/>
    <x v="3"/>
    <x v="209"/>
    <n v="164"/>
    <x v="14"/>
    <n v="2024"/>
    <x v="5"/>
    <x v="0"/>
    <x v="0"/>
    <x v="2"/>
    <x v="4"/>
    <s v="Female"/>
  </r>
  <r>
    <x v="672"/>
    <x v="4"/>
    <x v="22"/>
    <x v="0"/>
    <x v="209"/>
    <n v="21"/>
    <x v="0"/>
    <n v="2024"/>
    <x v="5"/>
    <x v="0"/>
    <x v="0"/>
    <x v="0"/>
    <x v="4"/>
    <s v="Female"/>
  </r>
  <r>
    <x v="673"/>
    <x v="6"/>
    <x v="131"/>
    <x v="3"/>
    <x v="210"/>
    <n v="120"/>
    <x v="14"/>
    <n v="2024"/>
    <x v="6"/>
    <x v="0"/>
    <x v="0"/>
    <x v="2"/>
    <x v="4"/>
    <s v="Female"/>
  </r>
  <r>
    <x v="674"/>
    <x v="5"/>
    <x v="84"/>
    <x v="2"/>
    <x v="210"/>
    <n v="93"/>
    <x v="34"/>
    <n v="2024"/>
    <x v="6"/>
    <x v="0"/>
    <x v="1"/>
    <x v="2"/>
    <x v="5"/>
    <s v="Female"/>
  </r>
  <r>
    <x v="675"/>
    <x v="4"/>
    <x v="3"/>
    <x v="2"/>
    <x v="210"/>
    <n v="135"/>
    <x v="15"/>
    <n v="2024"/>
    <x v="6"/>
    <x v="1"/>
    <x v="3"/>
    <x v="0"/>
    <x v="4"/>
    <s v="Female"/>
  </r>
  <r>
    <x v="676"/>
    <x v="12"/>
    <x v="78"/>
    <x v="0"/>
    <x v="210"/>
    <n v="210"/>
    <x v="18"/>
    <n v="2024"/>
    <x v="6"/>
    <x v="3"/>
    <x v="2"/>
    <x v="0"/>
    <x v="10"/>
    <s v="Female"/>
  </r>
  <r>
    <x v="677"/>
    <x v="14"/>
    <x v="47"/>
    <x v="2"/>
    <x v="211"/>
    <n v="29"/>
    <x v="2"/>
    <n v="2024"/>
    <x v="0"/>
    <x v="0"/>
    <x v="0"/>
    <x v="2"/>
    <x v="12"/>
    <s v="Female"/>
  </r>
  <r>
    <x v="678"/>
    <x v="8"/>
    <x v="90"/>
    <x v="4"/>
    <x v="211"/>
    <n v="111"/>
    <x v="10"/>
    <n v="2024"/>
    <x v="0"/>
    <x v="0"/>
    <x v="2"/>
    <x v="2"/>
    <x v="6"/>
    <s v="Male"/>
  </r>
  <r>
    <x v="679"/>
    <x v="3"/>
    <x v="89"/>
    <x v="1"/>
    <x v="212"/>
    <n v="63"/>
    <x v="17"/>
    <n v="2024"/>
    <x v="1"/>
    <x v="1"/>
    <x v="2"/>
    <x v="1"/>
    <x v="3"/>
    <s v="Female"/>
  </r>
  <r>
    <x v="680"/>
    <x v="13"/>
    <x v="0"/>
    <x v="3"/>
    <x v="212"/>
    <n v="44"/>
    <x v="11"/>
    <n v="2024"/>
    <x v="1"/>
    <x v="0"/>
    <x v="2"/>
    <x v="1"/>
    <x v="11"/>
    <s v="Male"/>
  </r>
  <r>
    <x v="681"/>
    <x v="3"/>
    <x v="75"/>
    <x v="3"/>
    <x v="213"/>
    <n v="120"/>
    <x v="32"/>
    <n v="2024"/>
    <x v="3"/>
    <x v="0"/>
    <x v="3"/>
    <x v="1"/>
    <x v="3"/>
    <s v="Female"/>
  </r>
  <r>
    <x v="682"/>
    <x v="4"/>
    <x v="138"/>
    <x v="3"/>
    <x v="213"/>
    <n v="120"/>
    <x v="17"/>
    <n v="2024"/>
    <x v="3"/>
    <x v="3"/>
    <x v="2"/>
    <x v="0"/>
    <x v="4"/>
    <s v="Female"/>
  </r>
  <r>
    <x v="683"/>
    <x v="8"/>
    <x v="157"/>
    <x v="1"/>
    <x v="214"/>
    <n v="40"/>
    <x v="5"/>
    <n v="2024"/>
    <x v="4"/>
    <x v="3"/>
    <x v="2"/>
    <x v="2"/>
    <x v="6"/>
    <s v="Male"/>
  </r>
  <r>
    <x v="684"/>
    <x v="5"/>
    <x v="148"/>
    <x v="2"/>
    <x v="214"/>
    <n v="160"/>
    <x v="17"/>
    <n v="2024"/>
    <x v="4"/>
    <x v="1"/>
    <x v="2"/>
    <x v="2"/>
    <x v="5"/>
    <s v="Female"/>
  </r>
  <r>
    <x v="685"/>
    <x v="12"/>
    <x v="21"/>
    <x v="3"/>
    <x v="215"/>
    <n v="44"/>
    <x v="11"/>
    <n v="2024"/>
    <x v="5"/>
    <x v="0"/>
    <x v="2"/>
    <x v="0"/>
    <x v="10"/>
    <s v="Female"/>
  </r>
  <r>
    <x v="686"/>
    <x v="3"/>
    <x v="130"/>
    <x v="1"/>
    <x v="215"/>
    <n v="80"/>
    <x v="12"/>
    <n v="2024"/>
    <x v="5"/>
    <x v="0"/>
    <x v="2"/>
    <x v="1"/>
    <x v="3"/>
    <s v="Female"/>
  </r>
  <r>
    <x v="687"/>
    <x v="10"/>
    <x v="143"/>
    <x v="1"/>
    <x v="216"/>
    <n v="66"/>
    <x v="14"/>
    <n v="2024"/>
    <x v="6"/>
    <x v="2"/>
    <x v="0"/>
    <x v="1"/>
    <x v="8"/>
    <s v="Male"/>
  </r>
  <r>
    <x v="688"/>
    <x v="13"/>
    <x v="133"/>
    <x v="4"/>
    <x v="216"/>
    <n v="82"/>
    <x v="7"/>
    <n v="2024"/>
    <x v="6"/>
    <x v="1"/>
    <x v="1"/>
    <x v="1"/>
    <x v="11"/>
    <s v="Male"/>
  </r>
  <r>
    <x v="689"/>
    <x v="5"/>
    <x v="38"/>
    <x v="3"/>
    <x v="216"/>
    <n v="66"/>
    <x v="4"/>
    <n v="2024"/>
    <x v="6"/>
    <x v="0"/>
    <x v="0"/>
    <x v="2"/>
    <x v="5"/>
    <s v="Female"/>
  </r>
  <r>
    <x v="690"/>
    <x v="12"/>
    <x v="37"/>
    <x v="2"/>
    <x v="216"/>
    <n v="92"/>
    <x v="0"/>
    <n v="2024"/>
    <x v="6"/>
    <x v="1"/>
    <x v="0"/>
    <x v="0"/>
    <x v="10"/>
    <s v="Female"/>
  </r>
  <r>
    <x v="691"/>
    <x v="11"/>
    <x v="24"/>
    <x v="4"/>
    <x v="217"/>
    <n v="104"/>
    <x v="2"/>
    <n v="2024"/>
    <x v="0"/>
    <x v="0"/>
    <x v="0"/>
    <x v="2"/>
    <x v="9"/>
    <s v="Female"/>
  </r>
  <r>
    <x v="692"/>
    <x v="4"/>
    <x v="4"/>
    <x v="3"/>
    <x v="217"/>
    <n v="105"/>
    <x v="16"/>
    <n v="2024"/>
    <x v="0"/>
    <x v="2"/>
    <x v="1"/>
    <x v="0"/>
    <x v="4"/>
    <s v="Female"/>
  </r>
  <r>
    <x v="693"/>
    <x v="13"/>
    <x v="21"/>
    <x v="3"/>
    <x v="217"/>
    <n v="100"/>
    <x v="3"/>
    <n v="2024"/>
    <x v="0"/>
    <x v="0"/>
    <x v="1"/>
    <x v="1"/>
    <x v="11"/>
    <s v="Male"/>
  </r>
  <r>
    <x v="694"/>
    <x v="5"/>
    <x v="146"/>
    <x v="4"/>
    <x v="217"/>
    <n v="90"/>
    <x v="17"/>
    <n v="2024"/>
    <x v="0"/>
    <x v="0"/>
    <x v="2"/>
    <x v="2"/>
    <x v="5"/>
    <s v="Female"/>
  </r>
  <r>
    <x v="695"/>
    <x v="2"/>
    <x v="18"/>
    <x v="0"/>
    <x v="217"/>
    <n v="110"/>
    <x v="8"/>
    <n v="2024"/>
    <x v="0"/>
    <x v="2"/>
    <x v="2"/>
    <x v="1"/>
    <x v="2"/>
    <s v="Male"/>
  </r>
  <r>
    <x v="696"/>
    <x v="10"/>
    <x v="66"/>
    <x v="4"/>
    <x v="218"/>
    <n v="68"/>
    <x v="24"/>
    <n v="2024"/>
    <x v="2"/>
    <x v="0"/>
    <x v="3"/>
    <x v="1"/>
    <x v="8"/>
    <s v="Male"/>
  </r>
  <r>
    <x v="697"/>
    <x v="4"/>
    <x v="95"/>
    <x v="1"/>
    <x v="219"/>
    <n v="210"/>
    <x v="17"/>
    <n v="2024"/>
    <x v="3"/>
    <x v="0"/>
    <x v="2"/>
    <x v="0"/>
    <x v="4"/>
    <s v="Female"/>
  </r>
  <r>
    <x v="698"/>
    <x v="1"/>
    <x v="145"/>
    <x v="0"/>
    <x v="219"/>
    <n v="111"/>
    <x v="12"/>
    <n v="2024"/>
    <x v="3"/>
    <x v="2"/>
    <x v="2"/>
    <x v="0"/>
    <x v="1"/>
    <s v="Male"/>
  </r>
  <r>
    <x v="699"/>
    <x v="1"/>
    <x v="41"/>
    <x v="1"/>
    <x v="220"/>
    <n v="45"/>
    <x v="0"/>
    <n v="2024"/>
    <x v="4"/>
    <x v="0"/>
    <x v="0"/>
    <x v="0"/>
    <x v="1"/>
    <s v="Male"/>
  </r>
  <r>
    <x v="700"/>
    <x v="7"/>
    <x v="55"/>
    <x v="0"/>
    <x v="221"/>
    <n v="132"/>
    <x v="9"/>
    <n v="2024"/>
    <x v="5"/>
    <x v="1"/>
    <x v="2"/>
    <x v="2"/>
    <x v="2"/>
    <s v="Female"/>
  </r>
  <r>
    <x v="701"/>
    <x v="0"/>
    <x v="70"/>
    <x v="4"/>
    <x v="221"/>
    <n v="20"/>
    <x v="2"/>
    <n v="2024"/>
    <x v="5"/>
    <x v="1"/>
    <x v="0"/>
    <x v="0"/>
    <x v="0"/>
    <s v="Male"/>
  </r>
  <r>
    <x v="702"/>
    <x v="6"/>
    <x v="74"/>
    <x v="3"/>
    <x v="221"/>
    <n v="36"/>
    <x v="7"/>
    <n v="2024"/>
    <x v="5"/>
    <x v="0"/>
    <x v="1"/>
    <x v="2"/>
    <x v="4"/>
    <s v="Female"/>
  </r>
  <r>
    <x v="703"/>
    <x v="13"/>
    <x v="5"/>
    <x v="1"/>
    <x v="222"/>
    <n v="72"/>
    <x v="9"/>
    <n v="2024"/>
    <x v="0"/>
    <x v="0"/>
    <x v="2"/>
    <x v="1"/>
    <x v="11"/>
    <s v="Male"/>
  </r>
  <r>
    <x v="704"/>
    <x v="9"/>
    <x v="75"/>
    <x v="1"/>
    <x v="222"/>
    <n v="63"/>
    <x v="14"/>
    <n v="2024"/>
    <x v="0"/>
    <x v="0"/>
    <x v="0"/>
    <x v="1"/>
    <x v="7"/>
    <s v="Female"/>
  </r>
  <r>
    <x v="705"/>
    <x v="9"/>
    <x v="6"/>
    <x v="0"/>
    <x v="223"/>
    <n v="44"/>
    <x v="14"/>
    <n v="2024"/>
    <x v="1"/>
    <x v="0"/>
    <x v="0"/>
    <x v="1"/>
    <x v="7"/>
    <s v="Female"/>
  </r>
  <r>
    <x v="706"/>
    <x v="0"/>
    <x v="84"/>
    <x v="2"/>
    <x v="223"/>
    <n v="132"/>
    <x v="0"/>
    <n v="2024"/>
    <x v="1"/>
    <x v="0"/>
    <x v="0"/>
    <x v="0"/>
    <x v="0"/>
    <s v="Male"/>
  </r>
  <r>
    <x v="707"/>
    <x v="12"/>
    <x v="97"/>
    <x v="3"/>
    <x v="223"/>
    <n v="46"/>
    <x v="5"/>
    <n v="2024"/>
    <x v="1"/>
    <x v="0"/>
    <x v="2"/>
    <x v="0"/>
    <x v="10"/>
    <s v="Female"/>
  </r>
  <r>
    <x v="708"/>
    <x v="12"/>
    <x v="74"/>
    <x v="3"/>
    <x v="223"/>
    <n v="96"/>
    <x v="1"/>
    <n v="2024"/>
    <x v="1"/>
    <x v="0"/>
    <x v="1"/>
    <x v="0"/>
    <x v="10"/>
    <s v="Female"/>
  </r>
  <r>
    <x v="709"/>
    <x v="8"/>
    <x v="37"/>
    <x v="0"/>
    <x v="224"/>
    <n v="75"/>
    <x v="5"/>
    <n v="2024"/>
    <x v="2"/>
    <x v="1"/>
    <x v="2"/>
    <x v="2"/>
    <x v="6"/>
    <s v="Male"/>
  </r>
  <r>
    <x v="710"/>
    <x v="5"/>
    <x v="143"/>
    <x v="3"/>
    <x v="225"/>
    <n v="88"/>
    <x v="12"/>
    <n v="2024"/>
    <x v="3"/>
    <x v="2"/>
    <x v="2"/>
    <x v="2"/>
    <x v="5"/>
    <s v="Female"/>
  </r>
  <r>
    <x v="711"/>
    <x v="1"/>
    <x v="41"/>
    <x v="0"/>
    <x v="225"/>
    <n v="24"/>
    <x v="2"/>
    <n v="2024"/>
    <x v="3"/>
    <x v="0"/>
    <x v="0"/>
    <x v="0"/>
    <x v="1"/>
    <s v="Male"/>
  </r>
  <r>
    <x v="712"/>
    <x v="3"/>
    <x v="20"/>
    <x v="4"/>
    <x v="225"/>
    <n v="96"/>
    <x v="23"/>
    <n v="2024"/>
    <x v="3"/>
    <x v="2"/>
    <x v="1"/>
    <x v="1"/>
    <x v="3"/>
    <s v="Female"/>
  </r>
  <r>
    <x v="713"/>
    <x v="4"/>
    <x v="111"/>
    <x v="4"/>
    <x v="226"/>
    <n v="124"/>
    <x v="24"/>
    <n v="2024"/>
    <x v="4"/>
    <x v="1"/>
    <x v="3"/>
    <x v="0"/>
    <x v="4"/>
    <s v="Female"/>
  </r>
  <r>
    <x v="714"/>
    <x v="3"/>
    <x v="93"/>
    <x v="2"/>
    <x v="227"/>
    <n v="130"/>
    <x v="6"/>
    <n v="2024"/>
    <x v="5"/>
    <x v="2"/>
    <x v="2"/>
    <x v="1"/>
    <x v="3"/>
    <s v="Female"/>
  </r>
  <r>
    <x v="715"/>
    <x v="12"/>
    <x v="156"/>
    <x v="1"/>
    <x v="227"/>
    <n v="45"/>
    <x v="19"/>
    <n v="2024"/>
    <x v="5"/>
    <x v="0"/>
    <x v="0"/>
    <x v="0"/>
    <x v="10"/>
    <s v="Female"/>
  </r>
  <r>
    <x v="716"/>
    <x v="2"/>
    <x v="90"/>
    <x v="4"/>
    <x v="227"/>
    <n v="66"/>
    <x v="9"/>
    <n v="2024"/>
    <x v="5"/>
    <x v="0"/>
    <x v="2"/>
    <x v="1"/>
    <x v="2"/>
    <s v="Male"/>
  </r>
  <r>
    <x v="717"/>
    <x v="0"/>
    <x v="32"/>
    <x v="0"/>
    <x v="227"/>
    <n v="58"/>
    <x v="2"/>
    <n v="2024"/>
    <x v="5"/>
    <x v="0"/>
    <x v="0"/>
    <x v="0"/>
    <x v="0"/>
    <s v="Male"/>
  </r>
  <r>
    <x v="718"/>
    <x v="13"/>
    <x v="125"/>
    <x v="4"/>
    <x v="228"/>
    <n v="152"/>
    <x v="12"/>
    <n v="2024"/>
    <x v="6"/>
    <x v="2"/>
    <x v="2"/>
    <x v="1"/>
    <x v="11"/>
    <s v="Male"/>
  </r>
  <r>
    <x v="719"/>
    <x v="4"/>
    <x v="33"/>
    <x v="3"/>
    <x v="228"/>
    <n v="75"/>
    <x v="3"/>
    <n v="2024"/>
    <x v="6"/>
    <x v="0"/>
    <x v="1"/>
    <x v="0"/>
    <x v="4"/>
    <s v="Female"/>
  </r>
  <r>
    <x v="720"/>
    <x v="10"/>
    <x v="70"/>
    <x v="1"/>
    <x v="228"/>
    <n v="78"/>
    <x v="9"/>
    <n v="2024"/>
    <x v="6"/>
    <x v="1"/>
    <x v="2"/>
    <x v="1"/>
    <x v="8"/>
    <s v="Male"/>
  </r>
  <r>
    <x v="721"/>
    <x v="0"/>
    <x v="30"/>
    <x v="2"/>
    <x v="228"/>
    <n v="69"/>
    <x v="10"/>
    <n v="2024"/>
    <x v="6"/>
    <x v="0"/>
    <x v="2"/>
    <x v="0"/>
    <x v="0"/>
    <s v="Male"/>
  </r>
  <r>
    <x v="722"/>
    <x v="11"/>
    <x v="55"/>
    <x v="0"/>
    <x v="229"/>
    <n v="46"/>
    <x v="22"/>
    <n v="2024"/>
    <x v="0"/>
    <x v="1"/>
    <x v="1"/>
    <x v="2"/>
    <x v="9"/>
    <s v="Female"/>
  </r>
  <r>
    <x v="723"/>
    <x v="13"/>
    <x v="139"/>
    <x v="4"/>
    <x v="229"/>
    <n v="64"/>
    <x v="34"/>
    <n v="2024"/>
    <x v="0"/>
    <x v="1"/>
    <x v="1"/>
    <x v="1"/>
    <x v="11"/>
    <s v="Male"/>
  </r>
  <r>
    <x v="724"/>
    <x v="6"/>
    <x v="99"/>
    <x v="1"/>
    <x v="229"/>
    <n v="38"/>
    <x v="2"/>
    <n v="2024"/>
    <x v="0"/>
    <x v="0"/>
    <x v="0"/>
    <x v="2"/>
    <x v="4"/>
    <s v="Female"/>
  </r>
  <r>
    <x v="725"/>
    <x v="0"/>
    <x v="20"/>
    <x v="1"/>
    <x v="230"/>
    <n v="90"/>
    <x v="12"/>
    <n v="2024"/>
    <x v="2"/>
    <x v="2"/>
    <x v="2"/>
    <x v="0"/>
    <x v="0"/>
    <s v="Male"/>
  </r>
  <r>
    <x v="726"/>
    <x v="7"/>
    <x v="131"/>
    <x v="1"/>
    <x v="230"/>
    <n v="32"/>
    <x v="11"/>
    <n v="2024"/>
    <x v="2"/>
    <x v="0"/>
    <x v="2"/>
    <x v="2"/>
    <x v="2"/>
    <s v="Female"/>
  </r>
  <r>
    <x v="727"/>
    <x v="8"/>
    <x v="29"/>
    <x v="4"/>
    <x v="230"/>
    <n v="120"/>
    <x v="5"/>
    <n v="2024"/>
    <x v="2"/>
    <x v="0"/>
    <x v="2"/>
    <x v="2"/>
    <x v="6"/>
    <s v="Male"/>
  </r>
  <r>
    <x v="728"/>
    <x v="6"/>
    <x v="126"/>
    <x v="1"/>
    <x v="230"/>
    <n v="31"/>
    <x v="10"/>
    <n v="2024"/>
    <x v="2"/>
    <x v="4"/>
    <x v="2"/>
    <x v="2"/>
    <x v="4"/>
    <s v="Female"/>
  </r>
  <r>
    <x v="729"/>
    <x v="2"/>
    <x v="77"/>
    <x v="4"/>
    <x v="231"/>
    <n v="108"/>
    <x v="0"/>
    <n v="2024"/>
    <x v="3"/>
    <x v="0"/>
    <x v="0"/>
    <x v="1"/>
    <x v="2"/>
    <s v="Male"/>
  </r>
  <r>
    <x v="730"/>
    <x v="0"/>
    <x v="50"/>
    <x v="4"/>
    <x v="231"/>
    <n v="180"/>
    <x v="18"/>
    <n v="2024"/>
    <x v="3"/>
    <x v="0"/>
    <x v="2"/>
    <x v="0"/>
    <x v="0"/>
    <s v="Male"/>
  </r>
  <r>
    <x v="731"/>
    <x v="7"/>
    <x v="54"/>
    <x v="2"/>
    <x v="232"/>
    <n v="124"/>
    <x v="9"/>
    <n v="2024"/>
    <x v="4"/>
    <x v="2"/>
    <x v="2"/>
    <x v="2"/>
    <x v="2"/>
    <s v="Female"/>
  </r>
  <r>
    <x v="732"/>
    <x v="5"/>
    <x v="67"/>
    <x v="2"/>
    <x v="232"/>
    <n v="23"/>
    <x v="18"/>
    <n v="2024"/>
    <x v="4"/>
    <x v="0"/>
    <x v="2"/>
    <x v="2"/>
    <x v="5"/>
    <s v="Female"/>
  </r>
  <r>
    <x v="733"/>
    <x v="12"/>
    <x v="44"/>
    <x v="0"/>
    <x v="233"/>
    <n v="24"/>
    <x v="4"/>
    <n v="2024"/>
    <x v="5"/>
    <x v="2"/>
    <x v="0"/>
    <x v="0"/>
    <x v="10"/>
    <s v="Female"/>
  </r>
  <r>
    <x v="734"/>
    <x v="5"/>
    <x v="116"/>
    <x v="1"/>
    <x v="234"/>
    <n v="52"/>
    <x v="31"/>
    <n v="2024"/>
    <x v="6"/>
    <x v="1"/>
    <x v="5"/>
    <x v="2"/>
    <x v="5"/>
    <s v="Female"/>
  </r>
  <r>
    <x v="735"/>
    <x v="2"/>
    <x v="62"/>
    <x v="0"/>
    <x v="235"/>
    <n v="168"/>
    <x v="9"/>
    <n v="2024"/>
    <x v="0"/>
    <x v="2"/>
    <x v="2"/>
    <x v="1"/>
    <x v="2"/>
    <s v="Male"/>
  </r>
  <r>
    <x v="736"/>
    <x v="13"/>
    <x v="42"/>
    <x v="4"/>
    <x v="236"/>
    <n v="125"/>
    <x v="4"/>
    <n v="2024"/>
    <x v="2"/>
    <x v="0"/>
    <x v="0"/>
    <x v="1"/>
    <x v="11"/>
    <s v="Male"/>
  </r>
  <r>
    <x v="737"/>
    <x v="0"/>
    <x v="51"/>
    <x v="0"/>
    <x v="237"/>
    <n v="50"/>
    <x v="18"/>
    <n v="2024"/>
    <x v="3"/>
    <x v="0"/>
    <x v="2"/>
    <x v="0"/>
    <x v="0"/>
    <s v="Male"/>
  </r>
  <r>
    <x v="738"/>
    <x v="9"/>
    <x v="30"/>
    <x v="1"/>
    <x v="238"/>
    <n v="220"/>
    <x v="19"/>
    <n v="2024"/>
    <x v="4"/>
    <x v="0"/>
    <x v="0"/>
    <x v="1"/>
    <x v="7"/>
    <s v="Female"/>
  </r>
  <r>
    <x v="739"/>
    <x v="6"/>
    <x v="130"/>
    <x v="0"/>
    <x v="238"/>
    <n v="180"/>
    <x v="9"/>
    <n v="2024"/>
    <x v="4"/>
    <x v="0"/>
    <x v="2"/>
    <x v="2"/>
    <x v="4"/>
    <s v="Female"/>
  </r>
  <r>
    <x v="740"/>
    <x v="2"/>
    <x v="77"/>
    <x v="1"/>
    <x v="238"/>
    <n v="110"/>
    <x v="10"/>
    <n v="2024"/>
    <x v="4"/>
    <x v="0"/>
    <x v="2"/>
    <x v="1"/>
    <x v="2"/>
    <s v="Male"/>
  </r>
  <r>
    <x v="741"/>
    <x v="12"/>
    <x v="151"/>
    <x v="0"/>
    <x v="238"/>
    <n v="36"/>
    <x v="3"/>
    <n v="2024"/>
    <x v="4"/>
    <x v="1"/>
    <x v="1"/>
    <x v="0"/>
    <x v="10"/>
    <s v="Female"/>
  </r>
  <r>
    <x v="742"/>
    <x v="1"/>
    <x v="92"/>
    <x v="2"/>
    <x v="239"/>
    <n v="93"/>
    <x v="2"/>
    <n v="2024"/>
    <x v="5"/>
    <x v="1"/>
    <x v="0"/>
    <x v="0"/>
    <x v="1"/>
    <s v="Male"/>
  </r>
  <r>
    <x v="743"/>
    <x v="6"/>
    <x v="134"/>
    <x v="0"/>
    <x v="239"/>
    <n v="38"/>
    <x v="18"/>
    <n v="2024"/>
    <x v="5"/>
    <x v="0"/>
    <x v="2"/>
    <x v="2"/>
    <x v="4"/>
    <s v="Female"/>
  </r>
  <r>
    <x v="744"/>
    <x v="2"/>
    <x v="130"/>
    <x v="2"/>
    <x v="240"/>
    <n v="66"/>
    <x v="10"/>
    <n v="2024"/>
    <x v="6"/>
    <x v="0"/>
    <x v="2"/>
    <x v="1"/>
    <x v="2"/>
    <s v="Male"/>
  </r>
  <r>
    <x v="745"/>
    <x v="5"/>
    <x v="42"/>
    <x v="0"/>
    <x v="240"/>
    <n v="215"/>
    <x v="19"/>
    <n v="2024"/>
    <x v="6"/>
    <x v="0"/>
    <x v="0"/>
    <x v="2"/>
    <x v="5"/>
    <s v="Female"/>
  </r>
  <r>
    <x v="746"/>
    <x v="5"/>
    <x v="64"/>
    <x v="2"/>
    <x v="240"/>
    <n v="92"/>
    <x v="12"/>
    <n v="2024"/>
    <x v="6"/>
    <x v="2"/>
    <x v="2"/>
    <x v="2"/>
    <x v="5"/>
    <s v="Female"/>
  </r>
  <r>
    <x v="747"/>
    <x v="4"/>
    <x v="74"/>
    <x v="0"/>
    <x v="240"/>
    <n v="80"/>
    <x v="6"/>
    <n v="2024"/>
    <x v="6"/>
    <x v="0"/>
    <x v="2"/>
    <x v="0"/>
    <x v="4"/>
    <s v="Female"/>
  </r>
  <r>
    <x v="748"/>
    <x v="4"/>
    <x v="22"/>
    <x v="0"/>
    <x v="241"/>
    <n v="123"/>
    <x v="0"/>
    <n v="2024"/>
    <x v="0"/>
    <x v="0"/>
    <x v="0"/>
    <x v="0"/>
    <x v="4"/>
    <s v="Female"/>
  </r>
  <r>
    <x v="749"/>
    <x v="12"/>
    <x v="48"/>
    <x v="3"/>
    <x v="241"/>
    <n v="23"/>
    <x v="21"/>
    <n v="2024"/>
    <x v="0"/>
    <x v="0"/>
    <x v="3"/>
    <x v="0"/>
    <x v="10"/>
    <s v="Female"/>
  </r>
  <r>
    <x v="750"/>
    <x v="11"/>
    <x v="127"/>
    <x v="1"/>
    <x v="241"/>
    <n v="63"/>
    <x v="18"/>
    <n v="2024"/>
    <x v="0"/>
    <x v="1"/>
    <x v="2"/>
    <x v="2"/>
    <x v="9"/>
    <s v="Female"/>
  </r>
  <r>
    <x v="751"/>
    <x v="14"/>
    <x v="66"/>
    <x v="4"/>
    <x v="241"/>
    <n v="52"/>
    <x v="10"/>
    <n v="2024"/>
    <x v="0"/>
    <x v="0"/>
    <x v="2"/>
    <x v="2"/>
    <x v="12"/>
    <s v="Female"/>
  </r>
  <r>
    <x v="752"/>
    <x v="5"/>
    <x v="99"/>
    <x v="4"/>
    <x v="241"/>
    <n v="60"/>
    <x v="18"/>
    <n v="2024"/>
    <x v="0"/>
    <x v="0"/>
    <x v="2"/>
    <x v="2"/>
    <x v="5"/>
    <s v="Female"/>
  </r>
  <r>
    <x v="753"/>
    <x v="4"/>
    <x v="19"/>
    <x v="2"/>
    <x v="242"/>
    <n v="87"/>
    <x v="10"/>
    <n v="2024"/>
    <x v="1"/>
    <x v="0"/>
    <x v="2"/>
    <x v="0"/>
    <x v="4"/>
    <s v="Female"/>
  </r>
  <r>
    <x v="754"/>
    <x v="8"/>
    <x v="74"/>
    <x v="0"/>
    <x v="243"/>
    <n v="42"/>
    <x v="14"/>
    <n v="2024"/>
    <x v="2"/>
    <x v="0"/>
    <x v="0"/>
    <x v="2"/>
    <x v="6"/>
    <s v="Male"/>
  </r>
  <r>
    <x v="755"/>
    <x v="10"/>
    <x v="112"/>
    <x v="1"/>
    <x v="244"/>
    <n v="37"/>
    <x v="11"/>
    <n v="2024"/>
    <x v="3"/>
    <x v="1"/>
    <x v="2"/>
    <x v="1"/>
    <x v="8"/>
    <s v="Male"/>
  </r>
  <r>
    <x v="756"/>
    <x v="10"/>
    <x v="51"/>
    <x v="3"/>
    <x v="244"/>
    <n v="135"/>
    <x v="10"/>
    <n v="2024"/>
    <x v="3"/>
    <x v="0"/>
    <x v="2"/>
    <x v="1"/>
    <x v="8"/>
    <s v="Male"/>
  </r>
  <r>
    <x v="757"/>
    <x v="8"/>
    <x v="72"/>
    <x v="3"/>
    <x v="244"/>
    <n v="88"/>
    <x v="2"/>
    <n v="2024"/>
    <x v="3"/>
    <x v="1"/>
    <x v="0"/>
    <x v="2"/>
    <x v="6"/>
    <s v="Male"/>
  </r>
  <r>
    <x v="758"/>
    <x v="13"/>
    <x v="130"/>
    <x v="1"/>
    <x v="244"/>
    <n v="190"/>
    <x v="23"/>
    <n v="2024"/>
    <x v="3"/>
    <x v="0"/>
    <x v="1"/>
    <x v="1"/>
    <x v="11"/>
    <s v="Male"/>
  </r>
  <r>
    <x v="759"/>
    <x v="13"/>
    <x v="139"/>
    <x v="3"/>
    <x v="244"/>
    <n v="81"/>
    <x v="13"/>
    <n v="2024"/>
    <x v="3"/>
    <x v="1"/>
    <x v="0"/>
    <x v="1"/>
    <x v="11"/>
    <s v="Male"/>
  </r>
  <r>
    <x v="760"/>
    <x v="10"/>
    <x v="116"/>
    <x v="1"/>
    <x v="244"/>
    <n v="44"/>
    <x v="20"/>
    <n v="2024"/>
    <x v="3"/>
    <x v="1"/>
    <x v="2"/>
    <x v="1"/>
    <x v="8"/>
    <s v="Male"/>
  </r>
  <r>
    <x v="761"/>
    <x v="2"/>
    <x v="10"/>
    <x v="3"/>
    <x v="245"/>
    <n v="92"/>
    <x v="10"/>
    <n v="2024"/>
    <x v="4"/>
    <x v="1"/>
    <x v="2"/>
    <x v="1"/>
    <x v="2"/>
    <s v="Male"/>
  </r>
  <r>
    <x v="762"/>
    <x v="10"/>
    <x v="50"/>
    <x v="0"/>
    <x v="246"/>
    <n v="90"/>
    <x v="22"/>
    <n v="2024"/>
    <x v="5"/>
    <x v="0"/>
    <x v="1"/>
    <x v="1"/>
    <x v="8"/>
    <s v="Male"/>
  </r>
  <r>
    <x v="763"/>
    <x v="11"/>
    <x v="90"/>
    <x v="3"/>
    <x v="246"/>
    <n v="112"/>
    <x v="26"/>
    <n v="2024"/>
    <x v="5"/>
    <x v="0"/>
    <x v="3"/>
    <x v="2"/>
    <x v="9"/>
    <s v="Female"/>
  </r>
  <r>
    <x v="764"/>
    <x v="9"/>
    <x v="76"/>
    <x v="1"/>
    <x v="246"/>
    <n v="112"/>
    <x v="19"/>
    <n v="2024"/>
    <x v="5"/>
    <x v="1"/>
    <x v="0"/>
    <x v="1"/>
    <x v="7"/>
    <s v="Female"/>
  </r>
  <r>
    <x v="765"/>
    <x v="14"/>
    <x v="55"/>
    <x v="2"/>
    <x v="246"/>
    <n v="48"/>
    <x v="20"/>
    <n v="2024"/>
    <x v="5"/>
    <x v="1"/>
    <x v="2"/>
    <x v="2"/>
    <x v="12"/>
    <s v="Female"/>
  </r>
  <r>
    <x v="766"/>
    <x v="11"/>
    <x v="118"/>
    <x v="1"/>
    <x v="246"/>
    <n v="116"/>
    <x v="5"/>
    <n v="2024"/>
    <x v="5"/>
    <x v="1"/>
    <x v="2"/>
    <x v="2"/>
    <x v="9"/>
    <s v="Female"/>
  </r>
  <r>
    <x v="767"/>
    <x v="1"/>
    <x v="95"/>
    <x v="1"/>
    <x v="246"/>
    <n v="29"/>
    <x v="15"/>
    <n v="2024"/>
    <x v="5"/>
    <x v="0"/>
    <x v="3"/>
    <x v="0"/>
    <x v="1"/>
    <s v="Male"/>
  </r>
  <r>
    <x v="768"/>
    <x v="9"/>
    <x v="107"/>
    <x v="3"/>
    <x v="247"/>
    <n v="170"/>
    <x v="30"/>
    <n v="2024"/>
    <x v="6"/>
    <x v="0"/>
    <x v="3"/>
    <x v="1"/>
    <x v="7"/>
    <s v="Female"/>
  </r>
  <r>
    <x v="769"/>
    <x v="1"/>
    <x v="134"/>
    <x v="4"/>
    <x v="247"/>
    <n v="68"/>
    <x v="7"/>
    <n v="2024"/>
    <x v="6"/>
    <x v="0"/>
    <x v="1"/>
    <x v="0"/>
    <x v="1"/>
    <s v="Male"/>
  </r>
  <r>
    <x v="770"/>
    <x v="4"/>
    <x v="74"/>
    <x v="0"/>
    <x v="247"/>
    <n v="195"/>
    <x v="34"/>
    <n v="2024"/>
    <x v="6"/>
    <x v="0"/>
    <x v="1"/>
    <x v="0"/>
    <x v="4"/>
    <s v="Female"/>
  </r>
  <r>
    <x v="771"/>
    <x v="3"/>
    <x v="19"/>
    <x v="0"/>
    <x v="247"/>
    <n v="96"/>
    <x v="20"/>
    <n v="2024"/>
    <x v="6"/>
    <x v="0"/>
    <x v="2"/>
    <x v="1"/>
    <x v="3"/>
    <s v="Female"/>
  </r>
  <r>
    <x v="772"/>
    <x v="11"/>
    <x v="1"/>
    <x v="0"/>
    <x v="247"/>
    <n v="96"/>
    <x v="22"/>
    <n v="2024"/>
    <x v="6"/>
    <x v="0"/>
    <x v="1"/>
    <x v="2"/>
    <x v="9"/>
    <s v="Female"/>
  </r>
  <r>
    <x v="773"/>
    <x v="14"/>
    <x v="84"/>
    <x v="2"/>
    <x v="247"/>
    <n v="117"/>
    <x v="17"/>
    <n v="2024"/>
    <x v="6"/>
    <x v="0"/>
    <x v="2"/>
    <x v="2"/>
    <x v="12"/>
    <s v="Female"/>
  </r>
  <r>
    <x v="774"/>
    <x v="4"/>
    <x v="26"/>
    <x v="3"/>
    <x v="247"/>
    <n v="80"/>
    <x v="4"/>
    <n v="2024"/>
    <x v="6"/>
    <x v="3"/>
    <x v="0"/>
    <x v="0"/>
    <x v="4"/>
    <s v="Female"/>
  </r>
  <r>
    <x v="775"/>
    <x v="8"/>
    <x v="104"/>
    <x v="4"/>
    <x v="247"/>
    <n v="117"/>
    <x v="9"/>
    <n v="2024"/>
    <x v="6"/>
    <x v="1"/>
    <x v="2"/>
    <x v="2"/>
    <x v="6"/>
    <s v="Male"/>
  </r>
  <r>
    <x v="776"/>
    <x v="10"/>
    <x v="97"/>
    <x v="0"/>
    <x v="248"/>
    <n v="40"/>
    <x v="35"/>
    <n v="2024"/>
    <x v="0"/>
    <x v="0"/>
    <x v="1"/>
    <x v="1"/>
    <x v="8"/>
    <s v="Male"/>
  </r>
  <r>
    <x v="777"/>
    <x v="13"/>
    <x v="158"/>
    <x v="4"/>
    <x v="248"/>
    <n v="117"/>
    <x v="4"/>
    <n v="2024"/>
    <x v="0"/>
    <x v="3"/>
    <x v="0"/>
    <x v="1"/>
    <x v="11"/>
    <s v="Male"/>
  </r>
  <r>
    <x v="778"/>
    <x v="7"/>
    <x v="67"/>
    <x v="3"/>
    <x v="248"/>
    <n v="135"/>
    <x v="17"/>
    <n v="2024"/>
    <x v="0"/>
    <x v="0"/>
    <x v="2"/>
    <x v="2"/>
    <x v="2"/>
    <s v="Female"/>
  </r>
  <r>
    <x v="779"/>
    <x v="11"/>
    <x v="25"/>
    <x v="1"/>
    <x v="248"/>
    <n v="99"/>
    <x v="18"/>
    <n v="2024"/>
    <x v="0"/>
    <x v="0"/>
    <x v="2"/>
    <x v="2"/>
    <x v="9"/>
    <s v="Female"/>
  </r>
  <r>
    <x v="780"/>
    <x v="6"/>
    <x v="40"/>
    <x v="2"/>
    <x v="248"/>
    <n v="130"/>
    <x v="16"/>
    <n v="2024"/>
    <x v="0"/>
    <x v="1"/>
    <x v="1"/>
    <x v="2"/>
    <x v="4"/>
    <s v="Female"/>
  </r>
  <r>
    <x v="781"/>
    <x v="5"/>
    <x v="108"/>
    <x v="4"/>
    <x v="248"/>
    <n v="96"/>
    <x v="2"/>
    <n v="2024"/>
    <x v="0"/>
    <x v="2"/>
    <x v="0"/>
    <x v="2"/>
    <x v="5"/>
    <s v="Female"/>
  </r>
  <r>
    <x v="782"/>
    <x v="4"/>
    <x v="24"/>
    <x v="2"/>
    <x v="248"/>
    <n v="128"/>
    <x v="20"/>
    <n v="2024"/>
    <x v="0"/>
    <x v="0"/>
    <x v="2"/>
    <x v="0"/>
    <x v="4"/>
    <s v="Female"/>
  </r>
  <r>
    <x v="783"/>
    <x v="14"/>
    <x v="37"/>
    <x v="0"/>
    <x v="248"/>
    <n v="69"/>
    <x v="2"/>
    <n v="2024"/>
    <x v="0"/>
    <x v="1"/>
    <x v="0"/>
    <x v="2"/>
    <x v="12"/>
    <s v="Female"/>
  </r>
  <r>
    <x v="784"/>
    <x v="14"/>
    <x v="66"/>
    <x v="0"/>
    <x v="248"/>
    <n v="44"/>
    <x v="19"/>
    <n v="2024"/>
    <x v="0"/>
    <x v="0"/>
    <x v="0"/>
    <x v="2"/>
    <x v="12"/>
    <s v="Female"/>
  </r>
  <r>
    <x v="785"/>
    <x v="5"/>
    <x v="112"/>
    <x v="0"/>
    <x v="248"/>
    <n v="44"/>
    <x v="4"/>
    <n v="2024"/>
    <x v="0"/>
    <x v="1"/>
    <x v="0"/>
    <x v="2"/>
    <x v="5"/>
    <s v="Female"/>
  </r>
  <r>
    <x v="786"/>
    <x v="9"/>
    <x v="59"/>
    <x v="4"/>
    <x v="249"/>
    <n v="135"/>
    <x v="26"/>
    <n v="2024"/>
    <x v="1"/>
    <x v="0"/>
    <x v="3"/>
    <x v="1"/>
    <x v="7"/>
    <s v="Female"/>
  </r>
  <r>
    <x v="787"/>
    <x v="3"/>
    <x v="107"/>
    <x v="2"/>
    <x v="249"/>
    <n v="45"/>
    <x v="10"/>
    <n v="2024"/>
    <x v="1"/>
    <x v="0"/>
    <x v="2"/>
    <x v="1"/>
    <x v="3"/>
    <s v="Female"/>
  </r>
  <r>
    <x v="788"/>
    <x v="13"/>
    <x v="62"/>
    <x v="2"/>
    <x v="249"/>
    <n v="87"/>
    <x v="35"/>
    <n v="2024"/>
    <x v="1"/>
    <x v="2"/>
    <x v="1"/>
    <x v="1"/>
    <x v="11"/>
    <s v="Male"/>
  </r>
  <r>
    <x v="789"/>
    <x v="8"/>
    <x v="67"/>
    <x v="3"/>
    <x v="250"/>
    <n v="84"/>
    <x v="19"/>
    <n v="2024"/>
    <x v="2"/>
    <x v="0"/>
    <x v="0"/>
    <x v="2"/>
    <x v="6"/>
    <s v="Male"/>
  </r>
  <r>
    <x v="790"/>
    <x v="9"/>
    <x v="34"/>
    <x v="0"/>
    <x v="250"/>
    <n v="81"/>
    <x v="11"/>
    <n v="2024"/>
    <x v="2"/>
    <x v="0"/>
    <x v="2"/>
    <x v="1"/>
    <x v="7"/>
    <s v="Female"/>
  </r>
  <r>
    <x v="791"/>
    <x v="5"/>
    <x v="25"/>
    <x v="1"/>
    <x v="250"/>
    <n v="130"/>
    <x v="5"/>
    <n v="2024"/>
    <x v="2"/>
    <x v="0"/>
    <x v="2"/>
    <x v="2"/>
    <x v="5"/>
    <s v="Female"/>
  </r>
  <r>
    <x v="792"/>
    <x v="4"/>
    <x v="96"/>
    <x v="0"/>
    <x v="251"/>
    <n v="92"/>
    <x v="21"/>
    <n v="2024"/>
    <x v="3"/>
    <x v="0"/>
    <x v="3"/>
    <x v="0"/>
    <x v="4"/>
    <s v="Female"/>
  </r>
  <r>
    <x v="793"/>
    <x v="12"/>
    <x v="82"/>
    <x v="3"/>
    <x v="251"/>
    <n v="48"/>
    <x v="14"/>
    <n v="2024"/>
    <x v="3"/>
    <x v="2"/>
    <x v="0"/>
    <x v="0"/>
    <x v="10"/>
    <s v="Female"/>
  </r>
  <r>
    <x v="794"/>
    <x v="3"/>
    <x v="6"/>
    <x v="4"/>
    <x v="251"/>
    <n v="160"/>
    <x v="14"/>
    <n v="2024"/>
    <x v="3"/>
    <x v="0"/>
    <x v="0"/>
    <x v="1"/>
    <x v="3"/>
    <s v="Female"/>
  </r>
  <r>
    <x v="795"/>
    <x v="7"/>
    <x v="87"/>
    <x v="3"/>
    <x v="252"/>
    <n v="155"/>
    <x v="34"/>
    <n v="2024"/>
    <x v="4"/>
    <x v="1"/>
    <x v="1"/>
    <x v="2"/>
    <x v="2"/>
    <s v="Female"/>
  </r>
  <r>
    <x v="796"/>
    <x v="6"/>
    <x v="117"/>
    <x v="1"/>
    <x v="252"/>
    <n v="100"/>
    <x v="0"/>
    <n v="2024"/>
    <x v="4"/>
    <x v="0"/>
    <x v="0"/>
    <x v="2"/>
    <x v="4"/>
    <s v="Female"/>
  </r>
  <r>
    <x v="797"/>
    <x v="9"/>
    <x v="46"/>
    <x v="2"/>
    <x v="252"/>
    <n v="56"/>
    <x v="20"/>
    <n v="2024"/>
    <x v="4"/>
    <x v="0"/>
    <x v="2"/>
    <x v="1"/>
    <x v="7"/>
    <s v="Female"/>
  </r>
  <r>
    <x v="798"/>
    <x v="4"/>
    <x v="159"/>
    <x v="0"/>
    <x v="252"/>
    <n v="170"/>
    <x v="10"/>
    <n v="2024"/>
    <x v="4"/>
    <x v="4"/>
    <x v="2"/>
    <x v="0"/>
    <x v="4"/>
    <s v="Female"/>
  </r>
  <r>
    <x v="799"/>
    <x v="13"/>
    <x v="67"/>
    <x v="4"/>
    <x v="253"/>
    <n v="74"/>
    <x v="8"/>
    <n v="2024"/>
    <x v="5"/>
    <x v="0"/>
    <x v="2"/>
    <x v="1"/>
    <x v="11"/>
    <s v="Male"/>
  </r>
  <r>
    <x v="800"/>
    <x v="10"/>
    <x v="53"/>
    <x v="0"/>
    <x v="253"/>
    <n v="99"/>
    <x v="34"/>
    <n v="2024"/>
    <x v="5"/>
    <x v="0"/>
    <x v="1"/>
    <x v="1"/>
    <x v="8"/>
    <s v="Male"/>
  </r>
  <r>
    <x v="801"/>
    <x v="5"/>
    <x v="31"/>
    <x v="3"/>
    <x v="253"/>
    <n v="84"/>
    <x v="10"/>
    <n v="2024"/>
    <x v="5"/>
    <x v="0"/>
    <x v="2"/>
    <x v="2"/>
    <x v="5"/>
    <s v="Female"/>
  </r>
  <r>
    <x v="802"/>
    <x v="10"/>
    <x v="104"/>
    <x v="0"/>
    <x v="253"/>
    <n v="35"/>
    <x v="7"/>
    <n v="2024"/>
    <x v="5"/>
    <x v="1"/>
    <x v="1"/>
    <x v="1"/>
    <x v="8"/>
    <s v="Male"/>
  </r>
  <r>
    <x v="803"/>
    <x v="1"/>
    <x v="83"/>
    <x v="2"/>
    <x v="253"/>
    <n v="150"/>
    <x v="13"/>
    <n v="2024"/>
    <x v="5"/>
    <x v="0"/>
    <x v="0"/>
    <x v="0"/>
    <x v="1"/>
    <s v="Male"/>
  </r>
  <r>
    <x v="804"/>
    <x v="2"/>
    <x v="17"/>
    <x v="4"/>
    <x v="254"/>
    <n v="176"/>
    <x v="5"/>
    <n v="2024"/>
    <x v="6"/>
    <x v="2"/>
    <x v="2"/>
    <x v="1"/>
    <x v="2"/>
    <s v="Male"/>
  </r>
  <r>
    <x v="805"/>
    <x v="2"/>
    <x v="31"/>
    <x v="4"/>
    <x v="254"/>
    <n v="84"/>
    <x v="12"/>
    <n v="2024"/>
    <x v="6"/>
    <x v="0"/>
    <x v="2"/>
    <x v="1"/>
    <x v="2"/>
    <s v="Male"/>
  </r>
  <r>
    <x v="806"/>
    <x v="5"/>
    <x v="131"/>
    <x v="4"/>
    <x v="254"/>
    <n v="136"/>
    <x v="2"/>
    <n v="2024"/>
    <x v="6"/>
    <x v="0"/>
    <x v="0"/>
    <x v="2"/>
    <x v="5"/>
    <s v="Female"/>
  </r>
  <r>
    <x v="807"/>
    <x v="4"/>
    <x v="124"/>
    <x v="4"/>
    <x v="255"/>
    <n v="70"/>
    <x v="17"/>
    <n v="2024"/>
    <x v="0"/>
    <x v="1"/>
    <x v="2"/>
    <x v="0"/>
    <x v="4"/>
    <s v="Female"/>
  </r>
  <r>
    <x v="808"/>
    <x v="8"/>
    <x v="157"/>
    <x v="2"/>
    <x v="255"/>
    <n v="96"/>
    <x v="4"/>
    <n v="2024"/>
    <x v="0"/>
    <x v="3"/>
    <x v="0"/>
    <x v="2"/>
    <x v="6"/>
    <s v="Male"/>
  </r>
  <r>
    <x v="809"/>
    <x v="2"/>
    <x v="69"/>
    <x v="2"/>
    <x v="255"/>
    <n v="23"/>
    <x v="18"/>
    <n v="2024"/>
    <x v="0"/>
    <x v="0"/>
    <x v="2"/>
    <x v="1"/>
    <x v="2"/>
    <s v="Male"/>
  </r>
  <r>
    <x v="810"/>
    <x v="7"/>
    <x v="30"/>
    <x v="4"/>
    <x v="256"/>
    <n v="120"/>
    <x v="7"/>
    <n v="2024"/>
    <x v="1"/>
    <x v="0"/>
    <x v="1"/>
    <x v="2"/>
    <x v="2"/>
    <s v="Female"/>
  </r>
  <r>
    <x v="811"/>
    <x v="12"/>
    <x v="108"/>
    <x v="4"/>
    <x v="256"/>
    <n v="205"/>
    <x v="16"/>
    <n v="2024"/>
    <x v="1"/>
    <x v="2"/>
    <x v="1"/>
    <x v="0"/>
    <x v="10"/>
    <s v="Female"/>
  </r>
  <r>
    <x v="812"/>
    <x v="9"/>
    <x v="103"/>
    <x v="1"/>
    <x v="257"/>
    <n v="42"/>
    <x v="11"/>
    <n v="2024"/>
    <x v="2"/>
    <x v="2"/>
    <x v="2"/>
    <x v="1"/>
    <x v="7"/>
    <s v="Female"/>
  </r>
  <r>
    <x v="813"/>
    <x v="4"/>
    <x v="1"/>
    <x v="3"/>
    <x v="257"/>
    <n v="111"/>
    <x v="10"/>
    <n v="2024"/>
    <x v="2"/>
    <x v="0"/>
    <x v="2"/>
    <x v="0"/>
    <x v="4"/>
    <s v="Female"/>
  </r>
  <r>
    <x v="814"/>
    <x v="3"/>
    <x v="130"/>
    <x v="4"/>
    <x v="257"/>
    <n v="68"/>
    <x v="25"/>
    <n v="2024"/>
    <x v="2"/>
    <x v="0"/>
    <x v="1"/>
    <x v="1"/>
    <x v="3"/>
    <s v="Female"/>
  </r>
  <r>
    <x v="815"/>
    <x v="13"/>
    <x v="47"/>
    <x v="0"/>
    <x v="257"/>
    <n v="172"/>
    <x v="0"/>
    <n v="2024"/>
    <x v="2"/>
    <x v="0"/>
    <x v="0"/>
    <x v="1"/>
    <x v="11"/>
    <s v="Male"/>
  </r>
  <r>
    <x v="816"/>
    <x v="11"/>
    <x v="44"/>
    <x v="4"/>
    <x v="257"/>
    <n v="152"/>
    <x v="4"/>
    <n v="2024"/>
    <x v="2"/>
    <x v="2"/>
    <x v="0"/>
    <x v="2"/>
    <x v="9"/>
    <s v="Female"/>
  </r>
  <r>
    <x v="817"/>
    <x v="11"/>
    <x v="31"/>
    <x v="1"/>
    <x v="257"/>
    <n v="48"/>
    <x v="2"/>
    <n v="2024"/>
    <x v="2"/>
    <x v="0"/>
    <x v="0"/>
    <x v="2"/>
    <x v="9"/>
    <s v="Female"/>
  </r>
  <r>
    <x v="818"/>
    <x v="6"/>
    <x v="71"/>
    <x v="1"/>
    <x v="257"/>
    <n v="25"/>
    <x v="2"/>
    <n v="2024"/>
    <x v="2"/>
    <x v="2"/>
    <x v="0"/>
    <x v="2"/>
    <x v="4"/>
    <s v="Female"/>
  </r>
  <r>
    <x v="819"/>
    <x v="3"/>
    <x v="5"/>
    <x v="3"/>
    <x v="258"/>
    <n v="54"/>
    <x v="16"/>
    <n v="2024"/>
    <x v="3"/>
    <x v="0"/>
    <x v="1"/>
    <x v="1"/>
    <x v="3"/>
    <s v="Female"/>
  </r>
  <r>
    <x v="820"/>
    <x v="3"/>
    <x v="124"/>
    <x v="2"/>
    <x v="258"/>
    <n v="108"/>
    <x v="2"/>
    <n v="2024"/>
    <x v="3"/>
    <x v="1"/>
    <x v="0"/>
    <x v="1"/>
    <x v="3"/>
    <s v="Female"/>
  </r>
  <r>
    <x v="821"/>
    <x v="14"/>
    <x v="53"/>
    <x v="4"/>
    <x v="258"/>
    <n v="36"/>
    <x v="14"/>
    <n v="2024"/>
    <x v="3"/>
    <x v="0"/>
    <x v="0"/>
    <x v="2"/>
    <x v="12"/>
    <s v="Female"/>
  </r>
  <r>
    <x v="822"/>
    <x v="0"/>
    <x v="134"/>
    <x v="1"/>
    <x v="259"/>
    <n v="140"/>
    <x v="19"/>
    <n v="2024"/>
    <x v="4"/>
    <x v="0"/>
    <x v="0"/>
    <x v="0"/>
    <x v="0"/>
    <s v="Male"/>
  </r>
  <r>
    <x v="823"/>
    <x v="2"/>
    <x v="116"/>
    <x v="3"/>
    <x v="259"/>
    <n v="50"/>
    <x v="4"/>
    <n v="2024"/>
    <x v="4"/>
    <x v="1"/>
    <x v="0"/>
    <x v="1"/>
    <x v="2"/>
    <s v="Male"/>
  </r>
  <r>
    <x v="824"/>
    <x v="14"/>
    <x v="134"/>
    <x v="0"/>
    <x v="259"/>
    <n v="195"/>
    <x v="12"/>
    <n v="2024"/>
    <x v="4"/>
    <x v="0"/>
    <x v="2"/>
    <x v="2"/>
    <x v="12"/>
    <s v="Female"/>
  </r>
  <r>
    <x v="825"/>
    <x v="2"/>
    <x v="12"/>
    <x v="1"/>
    <x v="260"/>
    <n v="48"/>
    <x v="2"/>
    <n v="2024"/>
    <x v="5"/>
    <x v="1"/>
    <x v="0"/>
    <x v="1"/>
    <x v="2"/>
    <s v="Male"/>
  </r>
  <r>
    <x v="826"/>
    <x v="6"/>
    <x v="55"/>
    <x v="4"/>
    <x v="261"/>
    <n v="29"/>
    <x v="4"/>
    <n v="2024"/>
    <x v="6"/>
    <x v="1"/>
    <x v="0"/>
    <x v="2"/>
    <x v="4"/>
    <s v="Female"/>
  </r>
  <r>
    <x v="827"/>
    <x v="0"/>
    <x v="130"/>
    <x v="0"/>
    <x v="261"/>
    <n v="44"/>
    <x v="2"/>
    <n v="2024"/>
    <x v="6"/>
    <x v="0"/>
    <x v="0"/>
    <x v="0"/>
    <x v="0"/>
    <s v="Male"/>
  </r>
  <r>
    <x v="828"/>
    <x v="1"/>
    <x v="35"/>
    <x v="2"/>
    <x v="261"/>
    <n v="140"/>
    <x v="12"/>
    <n v="2024"/>
    <x v="6"/>
    <x v="1"/>
    <x v="2"/>
    <x v="0"/>
    <x v="1"/>
    <s v="Male"/>
  </r>
  <r>
    <x v="829"/>
    <x v="13"/>
    <x v="19"/>
    <x v="2"/>
    <x v="261"/>
    <n v="105"/>
    <x v="11"/>
    <n v="2024"/>
    <x v="6"/>
    <x v="0"/>
    <x v="2"/>
    <x v="1"/>
    <x v="11"/>
    <s v="Male"/>
  </r>
  <r>
    <x v="830"/>
    <x v="5"/>
    <x v="118"/>
    <x v="2"/>
    <x v="261"/>
    <n v="82"/>
    <x v="19"/>
    <n v="2024"/>
    <x v="6"/>
    <x v="1"/>
    <x v="0"/>
    <x v="2"/>
    <x v="5"/>
    <s v="Female"/>
  </r>
  <r>
    <x v="831"/>
    <x v="0"/>
    <x v="123"/>
    <x v="0"/>
    <x v="261"/>
    <n v="24"/>
    <x v="1"/>
    <n v="2024"/>
    <x v="6"/>
    <x v="3"/>
    <x v="1"/>
    <x v="0"/>
    <x v="0"/>
    <s v="Male"/>
  </r>
  <r>
    <x v="832"/>
    <x v="4"/>
    <x v="37"/>
    <x v="4"/>
    <x v="262"/>
    <n v="205"/>
    <x v="4"/>
    <n v="2024"/>
    <x v="0"/>
    <x v="1"/>
    <x v="0"/>
    <x v="0"/>
    <x v="4"/>
    <s v="Female"/>
  </r>
  <r>
    <x v="833"/>
    <x v="1"/>
    <x v="108"/>
    <x v="1"/>
    <x v="262"/>
    <n v="225"/>
    <x v="0"/>
    <n v="2024"/>
    <x v="0"/>
    <x v="2"/>
    <x v="0"/>
    <x v="0"/>
    <x v="1"/>
    <s v="Male"/>
  </r>
  <r>
    <x v="834"/>
    <x v="4"/>
    <x v="95"/>
    <x v="4"/>
    <x v="262"/>
    <n v="50"/>
    <x v="7"/>
    <n v="2024"/>
    <x v="0"/>
    <x v="0"/>
    <x v="1"/>
    <x v="0"/>
    <x v="4"/>
    <s v="Female"/>
  </r>
  <r>
    <x v="835"/>
    <x v="4"/>
    <x v="71"/>
    <x v="2"/>
    <x v="262"/>
    <n v="80"/>
    <x v="12"/>
    <n v="2024"/>
    <x v="0"/>
    <x v="2"/>
    <x v="2"/>
    <x v="0"/>
    <x v="4"/>
    <s v="Female"/>
  </r>
  <r>
    <x v="836"/>
    <x v="5"/>
    <x v="120"/>
    <x v="1"/>
    <x v="262"/>
    <n v="78"/>
    <x v="10"/>
    <n v="2024"/>
    <x v="0"/>
    <x v="0"/>
    <x v="2"/>
    <x v="2"/>
    <x v="5"/>
    <s v="Female"/>
  </r>
  <r>
    <x v="837"/>
    <x v="3"/>
    <x v="122"/>
    <x v="4"/>
    <x v="263"/>
    <n v="40"/>
    <x v="10"/>
    <n v="2024"/>
    <x v="1"/>
    <x v="1"/>
    <x v="2"/>
    <x v="1"/>
    <x v="3"/>
    <s v="Female"/>
  </r>
  <r>
    <x v="838"/>
    <x v="5"/>
    <x v="120"/>
    <x v="1"/>
    <x v="263"/>
    <n v="176"/>
    <x v="38"/>
    <n v="2024"/>
    <x v="1"/>
    <x v="0"/>
    <x v="3"/>
    <x v="2"/>
    <x v="5"/>
    <s v="Female"/>
  </r>
  <r>
    <x v="839"/>
    <x v="11"/>
    <x v="6"/>
    <x v="4"/>
    <x v="263"/>
    <n v="78"/>
    <x v="35"/>
    <n v="2024"/>
    <x v="1"/>
    <x v="0"/>
    <x v="1"/>
    <x v="2"/>
    <x v="9"/>
    <s v="Female"/>
  </r>
  <r>
    <x v="840"/>
    <x v="14"/>
    <x v="81"/>
    <x v="1"/>
    <x v="263"/>
    <n v="42"/>
    <x v="18"/>
    <n v="2024"/>
    <x v="1"/>
    <x v="2"/>
    <x v="2"/>
    <x v="2"/>
    <x v="12"/>
    <s v="Female"/>
  </r>
  <r>
    <x v="841"/>
    <x v="3"/>
    <x v="78"/>
    <x v="4"/>
    <x v="263"/>
    <n v="38"/>
    <x v="20"/>
    <n v="2024"/>
    <x v="1"/>
    <x v="3"/>
    <x v="2"/>
    <x v="1"/>
    <x v="3"/>
    <s v="Female"/>
  </r>
  <r>
    <x v="842"/>
    <x v="2"/>
    <x v="69"/>
    <x v="3"/>
    <x v="263"/>
    <n v="27"/>
    <x v="18"/>
    <n v="2024"/>
    <x v="1"/>
    <x v="0"/>
    <x v="2"/>
    <x v="1"/>
    <x v="2"/>
    <s v="Male"/>
  </r>
  <r>
    <x v="843"/>
    <x v="5"/>
    <x v="65"/>
    <x v="0"/>
    <x v="264"/>
    <n v="45"/>
    <x v="5"/>
    <n v="2024"/>
    <x v="2"/>
    <x v="1"/>
    <x v="2"/>
    <x v="2"/>
    <x v="5"/>
    <s v="Female"/>
  </r>
  <r>
    <x v="844"/>
    <x v="7"/>
    <x v="74"/>
    <x v="4"/>
    <x v="264"/>
    <n v="215"/>
    <x v="9"/>
    <n v="2024"/>
    <x v="2"/>
    <x v="0"/>
    <x v="2"/>
    <x v="2"/>
    <x v="2"/>
    <s v="Female"/>
  </r>
  <r>
    <x v="845"/>
    <x v="6"/>
    <x v="23"/>
    <x v="4"/>
    <x v="265"/>
    <n v="72"/>
    <x v="2"/>
    <n v="2024"/>
    <x v="3"/>
    <x v="1"/>
    <x v="0"/>
    <x v="2"/>
    <x v="4"/>
    <s v="Female"/>
  </r>
  <r>
    <x v="846"/>
    <x v="3"/>
    <x v="160"/>
    <x v="2"/>
    <x v="265"/>
    <n v="160"/>
    <x v="3"/>
    <n v="2024"/>
    <x v="3"/>
    <x v="1"/>
    <x v="1"/>
    <x v="1"/>
    <x v="3"/>
    <s v="Female"/>
  </r>
  <r>
    <x v="847"/>
    <x v="6"/>
    <x v="76"/>
    <x v="4"/>
    <x v="265"/>
    <n v="165"/>
    <x v="25"/>
    <n v="2024"/>
    <x v="3"/>
    <x v="1"/>
    <x v="1"/>
    <x v="2"/>
    <x v="4"/>
    <s v="Female"/>
  </r>
  <r>
    <x v="848"/>
    <x v="1"/>
    <x v="146"/>
    <x v="2"/>
    <x v="265"/>
    <n v="120"/>
    <x v="7"/>
    <n v="2024"/>
    <x v="3"/>
    <x v="0"/>
    <x v="1"/>
    <x v="0"/>
    <x v="1"/>
    <s v="Male"/>
  </r>
  <r>
    <x v="849"/>
    <x v="0"/>
    <x v="122"/>
    <x v="1"/>
    <x v="265"/>
    <n v="117"/>
    <x v="4"/>
    <n v="2024"/>
    <x v="3"/>
    <x v="1"/>
    <x v="0"/>
    <x v="0"/>
    <x v="0"/>
    <s v="Male"/>
  </r>
  <r>
    <x v="850"/>
    <x v="8"/>
    <x v="94"/>
    <x v="3"/>
    <x v="266"/>
    <n v="29"/>
    <x v="12"/>
    <n v="2024"/>
    <x v="4"/>
    <x v="1"/>
    <x v="2"/>
    <x v="2"/>
    <x v="6"/>
    <s v="Male"/>
  </r>
  <r>
    <x v="851"/>
    <x v="0"/>
    <x v="54"/>
    <x v="2"/>
    <x v="266"/>
    <n v="64"/>
    <x v="14"/>
    <n v="2024"/>
    <x v="4"/>
    <x v="2"/>
    <x v="0"/>
    <x v="0"/>
    <x v="0"/>
    <s v="Male"/>
  </r>
  <r>
    <x v="852"/>
    <x v="11"/>
    <x v="62"/>
    <x v="1"/>
    <x v="266"/>
    <n v="84"/>
    <x v="6"/>
    <n v="2024"/>
    <x v="4"/>
    <x v="2"/>
    <x v="2"/>
    <x v="2"/>
    <x v="9"/>
    <s v="Female"/>
  </r>
  <r>
    <x v="853"/>
    <x v="7"/>
    <x v="55"/>
    <x v="4"/>
    <x v="266"/>
    <n v="42"/>
    <x v="20"/>
    <n v="2024"/>
    <x v="4"/>
    <x v="1"/>
    <x v="2"/>
    <x v="2"/>
    <x v="2"/>
    <s v="Female"/>
  </r>
  <r>
    <x v="854"/>
    <x v="3"/>
    <x v="30"/>
    <x v="4"/>
    <x v="266"/>
    <n v="120"/>
    <x v="8"/>
    <n v="2024"/>
    <x v="4"/>
    <x v="0"/>
    <x v="2"/>
    <x v="1"/>
    <x v="3"/>
    <s v="Female"/>
  </r>
  <r>
    <x v="855"/>
    <x v="11"/>
    <x v="116"/>
    <x v="3"/>
    <x v="267"/>
    <n v="80"/>
    <x v="2"/>
    <n v="2024"/>
    <x v="5"/>
    <x v="1"/>
    <x v="0"/>
    <x v="2"/>
    <x v="9"/>
    <s v="Female"/>
  </r>
  <r>
    <x v="856"/>
    <x v="8"/>
    <x v="28"/>
    <x v="2"/>
    <x v="267"/>
    <n v="185"/>
    <x v="8"/>
    <n v="2024"/>
    <x v="5"/>
    <x v="0"/>
    <x v="2"/>
    <x v="2"/>
    <x v="6"/>
    <s v="Male"/>
  </r>
  <r>
    <x v="857"/>
    <x v="4"/>
    <x v="73"/>
    <x v="0"/>
    <x v="268"/>
    <n v="135"/>
    <x v="10"/>
    <n v="2024"/>
    <x v="6"/>
    <x v="2"/>
    <x v="2"/>
    <x v="0"/>
    <x v="4"/>
    <s v="Female"/>
  </r>
  <r>
    <x v="858"/>
    <x v="4"/>
    <x v="113"/>
    <x v="2"/>
    <x v="268"/>
    <n v="20"/>
    <x v="4"/>
    <n v="2024"/>
    <x v="6"/>
    <x v="0"/>
    <x v="0"/>
    <x v="0"/>
    <x v="4"/>
    <s v="Female"/>
  </r>
  <r>
    <x v="859"/>
    <x v="12"/>
    <x v="101"/>
    <x v="2"/>
    <x v="268"/>
    <n v="31"/>
    <x v="9"/>
    <n v="2024"/>
    <x v="6"/>
    <x v="2"/>
    <x v="2"/>
    <x v="0"/>
    <x v="10"/>
    <s v="Female"/>
  </r>
  <r>
    <x v="860"/>
    <x v="14"/>
    <x v="17"/>
    <x v="3"/>
    <x v="269"/>
    <n v="120"/>
    <x v="2"/>
    <n v="2024"/>
    <x v="0"/>
    <x v="2"/>
    <x v="0"/>
    <x v="2"/>
    <x v="12"/>
    <s v="Female"/>
  </r>
  <r>
    <x v="861"/>
    <x v="1"/>
    <x v="22"/>
    <x v="1"/>
    <x v="269"/>
    <n v="117"/>
    <x v="6"/>
    <n v="2024"/>
    <x v="0"/>
    <x v="0"/>
    <x v="2"/>
    <x v="0"/>
    <x v="1"/>
    <s v="Male"/>
  </r>
  <r>
    <x v="862"/>
    <x v="14"/>
    <x v="77"/>
    <x v="4"/>
    <x v="269"/>
    <n v="80"/>
    <x v="14"/>
    <n v="2024"/>
    <x v="0"/>
    <x v="0"/>
    <x v="0"/>
    <x v="2"/>
    <x v="12"/>
    <s v="Female"/>
  </r>
  <r>
    <x v="863"/>
    <x v="14"/>
    <x v="39"/>
    <x v="0"/>
    <x v="270"/>
    <n v="117"/>
    <x v="9"/>
    <n v="2024"/>
    <x v="1"/>
    <x v="2"/>
    <x v="2"/>
    <x v="2"/>
    <x v="12"/>
    <s v="Female"/>
  </r>
  <r>
    <x v="864"/>
    <x v="8"/>
    <x v="74"/>
    <x v="3"/>
    <x v="270"/>
    <n v="60"/>
    <x v="14"/>
    <n v="2024"/>
    <x v="1"/>
    <x v="0"/>
    <x v="0"/>
    <x v="2"/>
    <x v="6"/>
    <s v="Male"/>
  </r>
  <r>
    <x v="865"/>
    <x v="4"/>
    <x v="79"/>
    <x v="4"/>
    <x v="271"/>
    <n v="58"/>
    <x v="10"/>
    <n v="2024"/>
    <x v="2"/>
    <x v="3"/>
    <x v="2"/>
    <x v="0"/>
    <x v="4"/>
    <s v="Female"/>
  </r>
  <r>
    <x v="866"/>
    <x v="12"/>
    <x v="113"/>
    <x v="0"/>
    <x v="271"/>
    <n v="41"/>
    <x v="12"/>
    <n v="2024"/>
    <x v="2"/>
    <x v="0"/>
    <x v="2"/>
    <x v="0"/>
    <x v="10"/>
    <s v="Female"/>
  </r>
  <r>
    <x v="867"/>
    <x v="3"/>
    <x v="21"/>
    <x v="1"/>
    <x v="271"/>
    <n v="180"/>
    <x v="6"/>
    <n v="2024"/>
    <x v="2"/>
    <x v="0"/>
    <x v="2"/>
    <x v="1"/>
    <x v="3"/>
    <s v="Female"/>
  </r>
  <r>
    <x v="868"/>
    <x v="13"/>
    <x v="69"/>
    <x v="1"/>
    <x v="271"/>
    <n v="42"/>
    <x v="6"/>
    <n v="2024"/>
    <x v="2"/>
    <x v="0"/>
    <x v="2"/>
    <x v="1"/>
    <x v="11"/>
    <s v="Male"/>
  </r>
  <r>
    <x v="869"/>
    <x v="13"/>
    <x v="2"/>
    <x v="1"/>
    <x v="272"/>
    <n v="24"/>
    <x v="9"/>
    <n v="2024"/>
    <x v="3"/>
    <x v="0"/>
    <x v="2"/>
    <x v="1"/>
    <x v="11"/>
    <s v="Male"/>
  </r>
  <r>
    <x v="870"/>
    <x v="12"/>
    <x v="58"/>
    <x v="1"/>
    <x v="272"/>
    <n v="125"/>
    <x v="18"/>
    <n v="2024"/>
    <x v="3"/>
    <x v="0"/>
    <x v="2"/>
    <x v="0"/>
    <x v="10"/>
    <s v="Female"/>
  </r>
  <r>
    <x v="871"/>
    <x v="12"/>
    <x v="99"/>
    <x v="0"/>
    <x v="273"/>
    <n v="78"/>
    <x v="12"/>
    <n v="2024"/>
    <x v="4"/>
    <x v="0"/>
    <x v="2"/>
    <x v="0"/>
    <x v="10"/>
    <s v="Female"/>
  </r>
  <r>
    <x v="872"/>
    <x v="9"/>
    <x v="66"/>
    <x v="2"/>
    <x v="273"/>
    <n v="180"/>
    <x v="11"/>
    <n v="2024"/>
    <x v="4"/>
    <x v="0"/>
    <x v="2"/>
    <x v="1"/>
    <x v="7"/>
    <s v="Female"/>
  </r>
  <r>
    <x v="873"/>
    <x v="7"/>
    <x v="161"/>
    <x v="0"/>
    <x v="273"/>
    <n v="84"/>
    <x v="5"/>
    <n v="2024"/>
    <x v="4"/>
    <x v="1"/>
    <x v="2"/>
    <x v="2"/>
    <x v="2"/>
    <s v="Female"/>
  </r>
  <r>
    <x v="874"/>
    <x v="4"/>
    <x v="98"/>
    <x v="0"/>
    <x v="273"/>
    <n v="26"/>
    <x v="2"/>
    <n v="2024"/>
    <x v="4"/>
    <x v="3"/>
    <x v="0"/>
    <x v="0"/>
    <x v="4"/>
    <s v="Female"/>
  </r>
  <r>
    <x v="875"/>
    <x v="1"/>
    <x v="30"/>
    <x v="0"/>
    <x v="274"/>
    <n v="140"/>
    <x v="6"/>
    <n v="2024"/>
    <x v="5"/>
    <x v="0"/>
    <x v="2"/>
    <x v="0"/>
    <x v="1"/>
    <s v="Male"/>
  </r>
  <r>
    <x v="876"/>
    <x v="3"/>
    <x v="156"/>
    <x v="2"/>
    <x v="274"/>
    <n v="31"/>
    <x v="30"/>
    <n v="2024"/>
    <x v="5"/>
    <x v="0"/>
    <x v="3"/>
    <x v="1"/>
    <x v="3"/>
    <s v="Female"/>
  </r>
  <r>
    <x v="877"/>
    <x v="8"/>
    <x v="113"/>
    <x v="2"/>
    <x v="274"/>
    <n v="108"/>
    <x v="4"/>
    <n v="2024"/>
    <x v="5"/>
    <x v="0"/>
    <x v="0"/>
    <x v="2"/>
    <x v="6"/>
    <s v="Male"/>
  </r>
  <r>
    <x v="878"/>
    <x v="7"/>
    <x v="70"/>
    <x v="3"/>
    <x v="275"/>
    <n v="58"/>
    <x v="12"/>
    <n v="2024"/>
    <x v="6"/>
    <x v="1"/>
    <x v="2"/>
    <x v="2"/>
    <x v="2"/>
    <s v="Female"/>
  </r>
  <r>
    <x v="879"/>
    <x v="7"/>
    <x v="90"/>
    <x v="2"/>
    <x v="275"/>
    <n v="185"/>
    <x v="30"/>
    <n v="2024"/>
    <x v="6"/>
    <x v="0"/>
    <x v="3"/>
    <x v="2"/>
    <x v="2"/>
    <s v="Female"/>
  </r>
  <r>
    <x v="880"/>
    <x v="7"/>
    <x v="53"/>
    <x v="2"/>
    <x v="275"/>
    <n v="40"/>
    <x v="4"/>
    <n v="2024"/>
    <x v="6"/>
    <x v="0"/>
    <x v="0"/>
    <x v="2"/>
    <x v="2"/>
    <s v="Female"/>
  </r>
  <r>
    <x v="881"/>
    <x v="7"/>
    <x v="157"/>
    <x v="4"/>
    <x v="275"/>
    <n v="225"/>
    <x v="27"/>
    <n v="2024"/>
    <x v="6"/>
    <x v="3"/>
    <x v="1"/>
    <x v="2"/>
    <x v="2"/>
    <s v="Female"/>
  </r>
  <r>
    <x v="882"/>
    <x v="3"/>
    <x v="41"/>
    <x v="3"/>
    <x v="275"/>
    <n v="150"/>
    <x v="27"/>
    <n v="2024"/>
    <x v="6"/>
    <x v="0"/>
    <x v="1"/>
    <x v="1"/>
    <x v="3"/>
    <s v="Female"/>
  </r>
  <r>
    <x v="883"/>
    <x v="6"/>
    <x v="50"/>
    <x v="1"/>
    <x v="276"/>
    <n v="88"/>
    <x v="7"/>
    <n v="2024"/>
    <x v="0"/>
    <x v="0"/>
    <x v="1"/>
    <x v="2"/>
    <x v="4"/>
    <s v="Female"/>
  </r>
  <r>
    <x v="884"/>
    <x v="10"/>
    <x v="103"/>
    <x v="0"/>
    <x v="276"/>
    <n v="140"/>
    <x v="20"/>
    <n v="2024"/>
    <x v="0"/>
    <x v="2"/>
    <x v="2"/>
    <x v="1"/>
    <x v="8"/>
    <s v="Male"/>
  </r>
  <r>
    <x v="885"/>
    <x v="6"/>
    <x v="52"/>
    <x v="1"/>
    <x v="276"/>
    <n v="68"/>
    <x v="15"/>
    <n v="2024"/>
    <x v="0"/>
    <x v="1"/>
    <x v="3"/>
    <x v="2"/>
    <x v="4"/>
    <s v="Female"/>
  </r>
  <r>
    <x v="886"/>
    <x v="1"/>
    <x v="7"/>
    <x v="4"/>
    <x v="277"/>
    <n v="105"/>
    <x v="6"/>
    <n v="2024"/>
    <x v="1"/>
    <x v="2"/>
    <x v="2"/>
    <x v="0"/>
    <x v="1"/>
    <s v="Male"/>
  </r>
  <r>
    <x v="887"/>
    <x v="13"/>
    <x v="112"/>
    <x v="0"/>
    <x v="277"/>
    <n v="40"/>
    <x v="11"/>
    <n v="2024"/>
    <x v="1"/>
    <x v="1"/>
    <x v="2"/>
    <x v="1"/>
    <x v="11"/>
    <s v="Male"/>
  </r>
  <r>
    <x v="888"/>
    <x v="9"/>
    <x v="84"/>
    <x v="0"/>
    <x v="277"/>
    <n v="82"/>
    <x v="22"/>
    <n v="2024"/>
    <x v="1"/>
    <x v="0"/>
    <x v="1"/>
    <x v="1"/>
    <x v="7"/>
    <s v="Female"/>
  </r>
  <r>
    <x v="889"/>
    <x v="0"/>
    <x v="96"/>
    <x v="4"/>
    <x v="278"/>
    <n v="90"/>
    <x v="5"/>
    <n v="2024"/>
    <x v="2"/>
    <x v="0"/>
    <x v="2"/>
    <x v="0"/>
    <x v="0"/>
    <s v="Male"/>
  </r>
  <r>
    <x v="890"/>
    <x v="2"/>
    <x v="133"/>
    <x v="3"/>
    <x v="279"/>
    <n v="66"/>
    <x v="4"/>
    <n v="2024"/>
    <x v="3"/>
    <x v="1"/>
    <x v="0"/>
    <x v="1"/>
    <x v="2"/>
    <s v="Male"/>
  </r>
  <r>
    <x v="891"/>
    <x v="14"/>
    <x v="63"/>
    <x v="1"/>
    <x v="279"/>
    <n v="78"/>
    <x v="8"/>
    <n v="2024"/>
    <x v="3"/>
    <x v="0"/>
    <x v="2"/>
    <x v="2"/>
    <x v="12"/>
    <s v="Female"/>
  </r>
  <r>
    <x v="892"/>
    <x v="3"/>
    <x v="6"/>
    <x v="3"/>
    <x v="280"/>
    <n v="66"/>
    <x v="5"/>
    <n v="2024"/>
    <x v="4"/>
    <x v="0"/>
    <x v="2"/>
    <x v="1"/>
    <x v="3"/>
    <s v="Female"/>
  </r>
  <r>
    <x v="893"/>
    <x v="13"/>
    <x v="108"/>
    <x v="4"/>
    <x v="281"/>
    <n v="160"/>
    <x v="11"/>
    <n v="2024"/>
    <x v="5"/>
    <x v="2"/>
    <x v="2"/>
    <x v="1"/>
    <x v="11"/>
    <s v="Male"/>
  </r>
  <r>
    <x v="894"/>
    <x v="12"/>
    <x v="59"/>
    <x v="0"/>
    <x v="282"/>
    <n v="144"/>
    <x v="11"/>
    <n v="2024"/>
    <x v="6"/>
    <x v="0"/>
    <x v="2"/>
    <x v="0"/>
    <x v="10"/>
    <s v="Female"/>
  </r>
  <r>
    <x v="895"/>
    <x v="13"/>
    <x v="141"/>
    <x v="2"/>
    <x v="282"/>
    <n v="200"/>
    <x v="19"/>
    <n v="2024"/>
    <x v="6"/>
    <x v="0"/>
    <x v="0"/>
    <x v="1"/>
    <x v="11"/>
    <s v="Male"/>
  </r>
  <r>
    <x v="896"/>
    <x v="5"/>
    <x v="143"/>
    <x v="1"/>
    <x v="283"/>
    <n v="220"/>
    <x v="13"/>
    <n v="2024"/>
    <x v="1"/>
    <x v="2"/>
    <x v="0"/>
    <x v="2"/>
    <x v="5"/>
    <s v="Female"/>
  </r>
  <r>
    <x v="897"/>
    <x v="3"/>
    <x v="28"/>
    <x v="3"/>
    <x v="284"/>
    <n v="112"/>
    <x v="23"/>
    <n v="2024"/>
    <x v="2"/>
    <x v="0"/>
    <x v="1"/>
    <x v="1"/>
    <x v="3"/>
    <s v="Female"/>
  </r>
  <r>
    <x v="898"/>
    <x v="2"/>
    <x v="129"/>
    <x v="4"/>
    <x v="284"/>
    <n v="110"/>
    <x v="20"/>
    <n v="2024"/>
    <x v="2"/>
    <x v="0"/>
    <x v="2"/>
    <x v="1"/>
    <x v="2"/>
    <s v="Male"/>
  </r>
  <r>
    <x v="899"/>
    <x v="11"/>
    <x v="33"/>
    <x v="0"/>
    <x v="285"/>
    <n v="160"/>
    <x v="34"/>
    <n v="2024"/>
    <x v="3"/>
    <x v="0"/>
    <x v="1"/>
    <x v="2"/>
    <x v="9"/>
    <s v="Female"/>
  </r>
  <r>
    <x v="900"/>
    <x v="11"/>
    <x v="78"/>
    <x v="4"/>
    <x v="285"/>
    <n v="84"/>
    <x v="9"/>
    <n v="2024"/>
    <x v="3"/>
    <x v="3"/>
    <x v="2"/>
    <x v="2"/>
    <x v="9"/>
    <s v="Female"/>
  </r>
  <r>
    <x v="901"/>
    <x v="2"/>
    <x v="108"/>
    <x v="1"/>
    <x v="285"/>
    <n v="124"/>
    <x v="27"/>
    <n v="2024"/>
    <x v="3"/>
    <x v="2"/>
    <x v="1"/>
    <x v="1"/>
    <x v="2"/>
    <s v="Male"/>
  </r>
  <r>
    <x v="902"/>
    <x v="11"/>
    <x v="89"/>
    <x v="2"/>
    <x v="285"/>
    <n v="84"/>
    <x v="19"/>
    <n v="2024"/>
    <x v="3"/>
    <x v="1"/>
    <x v="0"/>
    <x v="2"/>
    <x v="9"/>
    <s v="Female"/>
  </r>
  <r>
    <x v="903"/>
    <x v="1"/>
    <x v="130"/>
    <x v="3"/>
    <x v="286"/>
    <n v="130"/>
    <x v="34"/>
    <n v="2024"/>
    <x v="4"/>
    <x v="0"/>
    <x v="1"/>
    <x v="0"/>
    <x v="1"/>
    <s v="Male"/>
  </r>
  <r>
    <x v="904"/>
    <x v="12"/>
    <x v="55"/>
    <x v="0"/>
    <x v="286"/>
    <n v="215"/>
    <x v="8"/>
    <n v="2024"/>
    <x v="4"/>
    <x v="1"/>
    <x v="2"/>
    <x v="0"/>
    <x v="10"/>
    <s v="Female"/>
  </r>
  <r>
    <x v="905"/>
    <x v="3"/>
    <x v="50"/>
    <x v="1"/>
    <x v="287"/>
    <n v="132"/>
    <x v="6"/>
    <n v="2024"/>
    <x v="5"/>
    <x v="0"/>
    <x v="2"/>
    <x v="1"/>
    <x v="3"/>
    <s v="Female"/>
  </r>
  <r>
    <x v="906"/>
    <x v="6"/>
    <x v="34"/>
    <x v="3"/>
    <x v="287"/>
    <n v="88"/>
    <x v="0"/>
    <n v="2024"/>
    <x v="5"/>
    <x v="0"/>
    <x v="0"/>
    <x v="2"/>
    <x v="4"/>
    <s v="Female"/>
  </r>
  <r>
    <x v="907"/>
    <x v="0"/>
    <x v="48"/>
    <x v="1"/>
    <x v="287"/>
    <n v="140"/>
    <x v="10"/>
    <n v="2024"/>
    <x v="5"/>
    <x v="0"/>
    <x v="2"/>
    <x v="0"/>
    <x v="0"/>
    <s v="Male"/>
  </r>
  <r>
    <x v="908"/>
    <x v="11"/>
    <x v="5"/>
    <x v="3"/>
    <x v="288"/>
    <n v="66"/>
    <x v="2"/>
    <n v="2024"/>
    <x v="6"/>
    <x v="0"/>
    <x v="0"/>
    <x v="2"/>
    <x v="9"/>
    <s v="Female"/>
  </r>
  <r>
    <x v="909"/>
    <x v="8"/>
    <x v="34"/>
    <x v="0"/>
    <x v="288"/>
    <n v="23"/>
    <x v="14"/>
    <n v="2024"/>
    <x v="6"/>
    <x v="0"/>
    <x v="0"/>
    <x v="2"/>
    <x v="6"/>
    <s v="Male"/>
  </r>
  <r>
    <x v="910"/>
    <x v="6"/>
    <x v="148"/>
    <x v="0"/>
    <x v="289"/>
    <n v="220"/>
    <x v="14"/>
    <n v="2024"/>
    <x v="0"/>
    <x v="1"/>
    <x v="0"/>
    <x v="2"/>
    <x v="4"/>
    <s v="Female"/>
  </r>
  <r>
    <x v="911"/>
    <x v="7"/>
    <x v="63"/>
    <x v="4"/>
    <x v="290"/>
    <n v="175"/>
    <x v="5"/>
    <n v="2024"/>
    <x v="1"/>
    <x v="0"/>
    <x v="2"/>
    <x v="2"/>
    <x v="2"/>
    <s v="Female"/>
  </r>
  <r>
    <x v="912"/>
    <x v="13"/>
    <x v="25"/>
    <x v="0"/>
    <x v="290"/>
    <n v="172"/>
    <x v="17"/>
    <n v="2024"/>
    <x v="1"/>
    <x v="0"/>
    <x v="2"/>
    <x v="1"/>
    <x v="11"/>
    <s v="Male"/>
  </r>
  <r>
    <x v="913"/>
    <x v="9"/>
    <x v="129"/>
    <x v="2"/>
    <x v="290"/>
    <n v="108"/>
    <x v="11"/>
    <n v="2024"/>
    <x v="1"/>
    <x v="0"/>
    <x v="2"/>
    <x v="1"/>
    <x v="7"/>
    <s v="Female"/>
  </r>
  <r>
    <x v="914"/>
    <x v="8"/>
    <x v="121"/>
    <x v="0"/>
    <x v="291"/>
    <n v="43"/>
    <x v="18"/>
    <n v="2024"/>
    <x v="2"/>
    <x v="2"/>
    <x v="2"/>
    <x v="2"/>
    <x v="6"/>
    <s v="Male"/>
  </r>
  <r>
    <x v="915"/>
    <x v="6"/>
    <x v="40"/>
    <x v="1"/>
    <x v="291"/>
    <n v="44"/>
    <x v="30"/>
    <n v="2024"/>
    <x v="2"/>
    <x v="1"/>
    <x v="3"/>
    <x v="2"/>
    <x v="4"/>
    <s v="Female"/>
  </r>
  <r>
    <x v="916"/>
    <x v="13"/>
    <x v="87"/>
    <x v="4"/>
    <x v="291"/>
    <n v="105"/>
    <x v="10"/>
    <n v="2024"/>
    <x v="2"/>
    <x v="1"/>
    <x v="2"/>
    <x v="1"/>
    <x v="11"/>
    <s v="Male"/>
  </r>
  <r>
    <x v="917"/>
    <x v="7"/>
    <x v="97"/>
    <x v="1"/>
    <x v="292"/>
    <n v="34"/>
    <x v="10"/>
    <n v="2024"/>
    <x v="3"/>
    <x v="0"/>
    <x v="2"/>
    <x v="2"/>
    <x v="2"/>
    <s v="Female"/>
  </r>
  <r>
    <x v="918"/>
    <x v="4"/>
    <x v="117"/>
    <x v="0"/>
    <x v="292"/>
    <n v="220"/>
    <x v="17"/>
    <n v="2024"/>
    <x v="3"/>
    <x v="0"/>
    <x v="2"/>
    <x v="0"/>
    <x v="4"/>
    <s v="Female"/>
  </r>
  <r>
    <x v="919"/>
    <x v="0"/>
    <x v="90"/>
    <x v="4"/>
    <x v="292"/>
    <n v="225"/>
    <x v="19"/>
    <n v="2024"/>
    <x v="3"/>
    <x v="0"/>
    <x v="0"/>
    <x v="0"/>
    <x v="0"/>
    <s v="Male"/>
  </r>
  <r>
    <x v="920"/>
    <x v="2"/>
    <x v="93"/>
    <x v="4"/>
    <x v="293"/>
    <n v="37"/>
    <x v="17"/>
    <n v="2024"/>
    <x v="4"/>
    <x v="2"/>
    <x v="2"/>
    <x v="1"/>
    <x v="2"/>
    <s v="Male"/>
  </r>
  <r>
    <x v="921"/>
    <x v="12"/>
    <x v="47"/>
    <x v="1"/>
    <x v="293"/>
    <n v="44"/>
    <x v="13"/>
    <n v="2024"/>
    <x v="4"/>
    <x v="0"/>
    <x v="0"/>
    <x v="0"/>
    <x v="10"/>
    <s v="Female"/>
  </r>
  <r>
    <x v="922"/>
    <x v="5"/>
    <x v="17"/>
    <x v="1"/>
    <x v="294"/>
    <n v="35"/>
    <x v="3"/>
    <n v="2024"/>
    <x v="5"/>
    <x v="2"/>
    <x v="1"/>
    <x v="2"/>
    <x v="5"/>
    <s v="Female"/>
  </r>
  <r>
    <x v="923"/>
    <x v="12"/>
    <x v="17"/>
    <x v="0"/>
    <x v="294"/>
    <n v="145"/>
    <x v="34"/>
    <n v="2024"/>
    <x v="5"/>
    <x v="2"/>
    <x v="1"/>
    <x v="0"/>
    <x v="10"/>
    <s v="Female"/>
  </r>
  <r>
    <x v="924"/>
    <x v="6"/>
    <x v="51"/>
    <x v="4"/>
    <x v="294"/>
    <n v="64"/>
    <x v="10"/>
    <n v="2024"/>
    <x v="5"/>
    <x v="0"/>
    <x v="2"/>
    <x v="2"/>
    <x v="4"/>
    <s v="Female"/>
  </r>
  <r>
    <x v="925"/>
    <x v="12"/>
    <x v="107"/>
    <x v="0"/>
    <x v="295"/>
    <n v="185"/>
    <x v="12"/>
    <n v="2024"/>
    <x v="6"/>
    <x v="0"/>
    <x v="2"/>
    <x v="0"/>
    <x v="10"/>
    <s v="Female"/>
  </r>
  <r>
    <x v="926"/>
    <x v="3"/>
    <x v="74"/>
    <x v="1"/>
    <x v="295"/>
    <n v="215"/>
    <x v="25"/>
    <n v="2024"/>
    <x v="6"/>
    <x v="0"/>
    <x v="1"/>
    <x v="1"/>
    <x v="3"/>
    <s v="Female"/>
  </r>
  <r>
    <x v="927"/>
    <x v="8"/>
    <x v="7"/>
    <x v="2"/>
    <x v="295"/>
    <n v="88"/>
    <x v="7"/>
    <n v="2024"/>
    <x v="6"/>
    <x v="2"/>
    <x v="1"/>
    <x v="2"/>
    <x v="6"/>
    <s v="Male"/>
  </r>
  <r>
    <x v="928"/>
    <x v="12"/>
    <x v="99"/>
    <x v="4"/>
    <x v="295"/>
    <n v="23"/>
    <x v="7"/>
    <n v="2024"/>
    <x v="6"/>
    <x v="0"/>
    <x v="1"/>
    <x v="0"/>
    <x v="10"/>
    <s v="Female"/>
  </r>
  <r>
    <x v="929"/>
    <x v="2"/>
    <x v="54"/>
    <x v="2"/>
    <x v="296"/>
    <n v="180"/>
    <x v="32"/>
    <n v="2024"/>
    <x v="0"/>
    <x v="2"/>
    <x v="3"/>
    <x v="1"/>
    <x v="2"/>
    <s v="Male"/>
  </r>
  <r>
    <x v="930"/>
    <x v="13"/>
    <x v="53"/>
    <x v="4"/>
    <x v="297"/>
    <n v="225"/>
    <x v="20"/>
    <n v="2024"/>
    <x v="1"/>
    <x v="0"/>
    <x v="2"/>
    <x v="1"/>
    <x v="11"/>
    <s v="Male"/>
  </r>
  <r>
    <x v="931"/>
    <x v="4"/>
    <x v="137"/>
    <x v="1"/>
    <x v="298"/>
    <n v="74"/>
    <x v="17"/>
    <n v="2024"/>
    <x v="2"/>
    <x v="3"/>
    <x v="2"/>
    <x v="0"/>
    <x v="4"/>
    <s v="Female"/>
  </r>
  <r>
    <x v="932"/>
    <x v="3"/>
    <x v="119"/>
    <x v="4"/>
    <x v="298"/>
    <n v="36"/>
    <x v="35"/>
    <n v="2024"/>
    <x v="2"/>
    <x v="1"/>
    <x v="1"/>
    <x v="1"/>
    <x v="3"/>
    <s v="Female"/>
  </r>
  <r>
    <x v="933"/>
    <x v="5"/>
    <x v="15"/>
    <x v="4"/>
    <x v="299"/>
    <n v="116"/>
    <x v="10"/>
    <n v="2024"/>
    <x v="4"/>
    <x v="0"/>
    <x v="2"/>
    <x v="2"/>
    <x v="5"/>
    <s v="Female"/>
  </r>
  <r>
    <x v="934"/>
    <x v="3"/>
    <x v="67"/>
    <x v="2"/>
    <x v="299"/>
    <n v="140"/>
    <x v="9"/>
    <n v="2024"/>
    <x v="4"/>
    <x v="0"/>
    <x v="2"/>
    <x v="1"/>
    <x v="3"/>
    <s v="Female"/>
  </r>
  <r>
    <x v="935"/>
    <x v="3"/>
    <x v="9"/>
    <x v="1"/>
    <x v="300"/>
    <n v="104"/>
    <x v="14"/>
    <n v="2024"/>
    <x v="5"/>
    <x v="0"/>
    <x v="0"/>
    <x v="1"/>
    <x v="3"/>
    <s v="Female"/>
  </r>
  <r>
    <x v="936"/>
    <x v="5"/>
    <x v="119"/>
    <x v="3"/>
    <x v="300"/>
    <n v="148"/>
    <x v="9"/>
    <n v="2024"/>
    <x v="5"/>
    <x v="1"/>
    <x v="2"/>
    <x v="2"/>
    <x v="5"/>
    <s v="Female"/>
  </r>
  <r>
    <x v="937"/>
    <x v="8"/>
    <x v="108"/>
    <x v="4"/>
    <x v="300"/>
    <n v="205"/>
    <x v="12"/>
    <n v="2024"/>
    <x v="5"/>
    <x v="2"/>
    <x v="2"/>
    <x v="2"/>
    <x v="6"/>
    <s v="Male"/>
  </r>
  <r>
    <x v="938"/>
    <x v="1"/>
    <x v="132"/>
    <x v="0"/>
    <x v="300"/>
    <n v="210"/>
    <x v="4"/>
    <n v="2024"/>
    <x v="5"/>
    <x v="3"/>
    <x v="0"/>
    <x v="0"/>
    <x v="1"/>
    <s v="Male"/>
  </r>
  <r>
    <x v="939"/>
    <x v="4"/>
    <x v="38"/>
    <x v="3"/>
    <x v="301"/>
    <n v="41"/>
    <x v="2"/>
    <n v="2024"/>
    <x v="0"/>
    <x v="0"/>
    <x v="0"/>
    <x v="0"/>
    <x v="4"/>
    <s v="Female"/>
  </r>
  <r>
    <x v="940"/>
    <x v="11"/>
    <x v="74"/>
    <x v="2"/>
    <x v="301"/>
    <n v="136"/>
    <x v="13"/>
    <n v="2024"/>
    <x v="0"/>
    <x v="0"/>
    <x v="0"/>
    <x v="2"/>
    <x v="9"/>
    <s v="Female"/>
  </r>
  <r>
    <x v="941"/>
    <x v="9"/>
    <x v="45"/>
    <x v="1"/>
    <x v="302"/>
    <n v="126"/>
    <x v="38"/>
    <n v="2024"/>
    <x v="1"/>
    <x v="0"/>
    <x v="3"/>
    <x v="1"/>
    <x v="7"/>
    <s v="Female"/>
  </r>
  <r>
    <x v="942"/>
    <x v="2"/>
    <x v="24"/>
    <x v="0"/>
    <x v="303"/>
    <n v="148"/>
    <x v="17"/>
    <n v="2024"/>
    <x v="2"/>
    <x v="0"/>
    <x v="2"/>
    <x v="1"/>
    <x v="2"/>
    <s v="Male"/>
  </r>
  <r>
    <x v="943"/>
    <x v="9"/>
    <x v="72"/>
    <x v="1"/>
    <x v="303"/>
    <n v="125"/>
    <x v="10"/>
    <n v="2024"/>
    <x v="2"/>
    <x v="1"/>
    <x v="2"/>
    <x v="1"/>
    <x v="7"/>
    <s v="Female"/>
  </r>
  <r>
    <x v="944"/>
    <x v="6"/>
    <x v="144"/>
    <x v="2"/>
    <x v="303"/>
    <n v="25"/>
    <x v="17"/>
    <n v="2024"/>
    <x v="2"/>
    <x v="2"/>
    <x v="2"/>
    <x v="2"/>
    <x v="4"/>
    <s v="Female"/>
  </r>
  <r>
    <x v="945"/>
    <x v="7"/>
    <x v="162"/>
    <x v="4"/>
    <x v="304"/>
    <n v="62"/>
    <x v="3"/>
    <n v="2024"/>
    <x v="3"/>
    <x v="4"/>
    <x v="1"/>
    <x v="2"/>
    <x v="2"/>
    <s v="Female"/>
  </r>
  <r>
    <x v="946"/>
    <x v="2"/>
    <x v="115"/>
    <x v="2"/>
    <x v="305"/>
    <n v="90"/>
    <x v="19"/>
    <n v="2024"/>
    <x v="4"/>
    <x v="1"/>
    <x v="0"/>
    <x v="1"/>
    <x v="2"/>
    <s v="Male"/>
  </r>
  <r>
    <x v="947"/>
    <x v="1"/>
    <x v="116"/>
    <x v="3"/>
    <x v="306"/>
    <n v="33"/>
    <x v="4"/>
    <n v="2024"/>
    <x v="5"/>
    <x v="1"/>
    <x v="0"/>
    <x v="0"/>
    <x v="1"/>
    <s v="Male"/>
  </r>
  <r>
    <x v="948"/>
    <x v="3"/>
    <x v="42"/>
    <x v="4"/>
    <x v="306"/>
    <n v="115"/>
    <x v="24"/>
    <n v="2024"/>
    <x v="5"/>
    <x v="0"/>
    <x v="3"/>
    <x v="1"/>
    <x v="3"/>
    <s v="Female"/>
  </r>
  <r>
    <x v="949"/>
    <x v="1"/>
    <x v="122"/>
    <x v="3"/>
    <x v="306"/>
    <n v="45"/>
    <x v="27"/>
    <n v="2024"/>
    <x v="5"/>
    <x v="1"/>
    <x v="1"/>
    <x v="0"/>
    <x v="1"/>
    <s v="Male"/>
  </r>
  <r>
    <x v="950"/>
    <x v="6"/>
    <x v="156"/>
    <x v="0"/>
    <x v="306"/>
    <n v="114"/>
    <x v="4"/>
    <n v="2024"/>
    <x v="5"/>
    <x v="0"/>
    <x v="0"/>
    <x v="2"/>
    <x v="4"/>
    <s v="Female"/>
  </r>
  <r>
    <x v="951"/>
    <x v="3"/>
    <x v="9"/>
    <x v="1"/>
    <x v="307"/>
    <n v="72"/>
    <x v="20"/>
    <n v="2024"/>
    <x v="6"/>
    <x v="0"/>
    <x v="2"/>
    <x v="1"/>
    <x v="3"/>
    <s v="Female"/>
  </r>
  <r>
    <x v="952"/>
    <x v="10"/>
    <x v="63"/>
    <x v="0"/>
    <x v="307"/>
    <n v="205"/>
    <x v="18"/>
    <n v="2024"/>
    <x v="6"/>
    <x v="0"/>
    <x v="2"/>
    <x v="1"/>
    <x v="8"/>
    <s v="Male"/>
  </r>
  <r>
    <x v="953"/>
    <x v="1"/>
    <x v="40"/>
    <x v="1"/>
    <x v="308"/>
    <n v="42"/>
    <x v="16"/>
    <n v="2024"/>
    <x v="0"/>
    <x v="1"/>
    <x v="1"/>
    <x v="0"/>
    <x v="1"/>
    <s v="Male"/>
  </r>
  <r>
    <x v="954"/>
    <x v="7"/>
    <x v="122"/>
    <x v="0"/>
    <x v="308"/>
    <n v="96"/>
    <x v="12"/>
    <n v="2024"/>
    <x v="0"/>
    <x v="1"/>
    <x v="2"/>
    <x v="2"/>
    <x v="2"/>
    <s v="Female"/>
  </r>
  <r>
    <x v="955"/>
    <x v="3"/>
    <x v="145"/>
    <x v="4"/>
    <x v="308"/>
    <n v="64"/>
    <x v="20"/>
    <n v="2024"/>
    <x v="0"/>
    <x v="2"/>
    <x v="2"/>
    <x v="1"/>
    <x v="3"/>
    <s v="Female"/>
  </r>
  <r>
    <x v="956"/>
    <x v="10"/>
    <x v="50"/>
    <x v="0"/>
    <x v="309"/>
    <n v="72"/>
    <x v="20"/>
    <n v="2024"/>
    <x v="1"/>
    <x v="0"/>
    <x v="2"/>
    <x v="1"/>
    <x v="8"/>
    <s v="Male"/>
  </r>
  <r>
    <x v="957"/>
    <x v="6"/>
    <x v="18"/>
    <x v="3"/>
    <x v="310"/>
    <n v="27"/>
    <x v="22"/>
    <n v="2024"/>
    <x v="2"/>
    <x v="2"/>
    <x v="1"/>
    <x v="2"/>
    <x v="4"/>
    <s v="Female"/>
  </r>
  <r>
    <x v="958"/>
    <x v="7"/>
    <x v="67"/>
    <x v="3"/>
    <x v="311"/>
    <n v="200"/>
    <x v="21"/>
    <n v="2024"/>
    <x v="4"/>
    <x v="0"/>
    <x v="3"/>
    <x v="2"/>
    <x v="2"/>
    <s v="Female"/>
  </r>
  <r>
    <x v="959"/>
    <x v="6"/>
    <x v="128"/>
    <x v="1"/>
    <x v="312"/>
    <n v="93"/>
    <x v="8"/>
    <n v="2024"/>
    <x v="5"/>
    <x v="3"/>
    <x v="2"/>
    <x v="2"/>
    <x v="4"/>
    <s v="Female"/>
  </r>
  <r>
    <x v="960"/>
    <x v="12"/>
    <x v="54"/>
    <x v="4"/>
    <x v="312"/>
    <n v="54"/>
    <x v="12"/>
    <n v="2024"/>
    <x v="5"/>
    <x v="2"/>
    <x v="2"/>
    <x v="0"/>
    <x v="10"/>
    <s v="Female"/>
  </r>
  <r>
    <x v="961"/>
    <x v="6"/>
    <x v="6"/>
    <x v="1"/>
    <x v="313"/>
    <n v="72"/>
    <x v="7"/>
    <n v="2024"/>
    <x v="6"/>
    <x v="0"/>
    <x v="1"/>
    <x v="2"/>
    <x v="4"/>
    <s v="Female"/>
  </r>
  <r>
    <x v="962"/>
    <x v="9"/>
    <x v="47"/>
    <x v="2"/>
    <x v="313"/>
    <n v="82"/>
    <x v="20"/>
    <n v="2024"/>
    <x v="6"/>
    <x v="0"/>
    <x v="2"/>
    <x v="1"/>
    <x v="7"/>
    <s v="Female"/>
  </r>
  <r>
    <x v="963"/>
    <x v="12"/>
    <x v="74"/>
    <x v="4"/>
    <x v="314"/>
    <n v="164"/>
    <x v="4"/>
    <n v="2024"/>
    <x v="3"/>
    <x v="0"/>
    <x v="0"/>
    <x v="0"/>
    <x v="10"/>
    <s v="Female"/>
  </r>
  <r>
    <x v="964"/>
    <x v="2"/>
    <x v="30"/>
    <x v="1"/>
    <x v="314"/>
    <n v="78"/>
    <x v="16"/>
    <n v="2024"/>
    <x v="3"/>
    <x v="0"/>
    <x v="1"/>
    <x v="1"/>
    <x v="2"/>
    <s v="Male"/>
  </r>
  <r>
    <x v="965"/>
    <x v="10"/>
    <x v="109"/>
    <x v="3"/>
    <x v="315"/>
    <n v="135"/>
    <x v="18"/>
    <n v="2024"/>
    <x v="4"/>
    <x v="2"/>
    <x v="2"/>
    <x v="1"/>
    <x v="8"/>
    <s v="Male"/>
  </r>
  <r>
    <x v="966"/>
    <x v="14"/>
    <x v="76"/>
    <x v="4"/>
    <x v="316"/>
    <n v="145"/>
    <x v="27"/>
    <n v="2024"/>
    <x v="5"/>
    <x v="1"/>
    <x v="1"/>
    <x v="2"/>
    <x v="12"/>
    <s v="Female"/>
  </r>
  <r>
    <x v="967"/>
    <x v="5"/>
    <x v="74"/>
    <x v="3"/>
    <x v="316"/>
    <n v="115"/>
    <x v="0"/>
    <n v="2024"/>
    <x v="5"/>
    <x v="0"/>
    <x v="0"/>
    <x v="2"/>
    <x v="5"/>
    <s v="Female"/>
  </r>
  <r>
    <x v="968"/>
    <x v="13"/>
    <x v="89"/>
    <x v="1"/>
    <x v="316"/>
    <n v="117"/>
    <x v="26"/>
    <n v="2024"/>
    <x v="5"/>
    <x v="1"/>
    <x v="3"/>
    <x v="1"/>
    <x v="11"/>
    <s v="Male"/>
  </r>
  <r>
    <x v="969"/>
    <x v="14"/>
    <x v="119"/>
    <x v="0"/>
    <x v="317"/>
    <n v="36"/>
    <x v="2"/>
    <n v="2024"/>
    <x v="6"/>
    <x v="1"/>
    <x v="0"/>
    <x v="2"/>
    <x v="12"/>
    <s v="Female"/>
  </r>
  <r>
    <x v="970"/>
    <x v="2"/>
    <x v="64"/>
    <x v="0"/>
    <x v="317"/>
    <n v="84"/>
    <x v="3"/>
    <n v="2024"/>
    <x v="6"/>
    <x v="2"/>
    <x v="1"/>
    <x v="1"/>
    <x v="2"/>
    <s v="Male"/>
  </r>
  <r>
    <x v="971"/>
    <x v="8"/>
    <x v="56"/>
    <x v="0"/>
    <x v="317"/>
    <n v="66"/>
    <x v="23"/>
    <n v="2024"/>
    <x v="6"/>
    <x v="1"/>
    <x v="1"/>
    <x v="2"/>
    <x v="6"/>
    <s v="Male"/>
  </r>
  <r>
    <x v="972"/>
    <x v="6"/>
    <x v="52"/>
    <x v="3"/>
    <x v="317"/>
    <n v="76"/>
    <x v="2"/>
    <n v="2024"/>
    <x v="6"/>
    <x v="1"/>
    <x v="0"/>
    <x v="2"/>
    <x v="4"/>
    <s v="Female"/>
  </r>
  <r>
    <x v="973"/>
    <x v="11"/>
    <x v="116"/>
    <x v="3"/>
    <x v="317"/>
    <n v="185"/>
    <x v="4"/>
    <n v="2024"/>
    <x v="6"/>
    <x v="1"/>
    <x v="0"/>
    <x v="2"/>
    <x v="9"/>
    <s v="Female"/>
  </r>
  <r>
    <x v="974"/>
    <x v="2"/>
    <x v="116"/>
    <x v="2"/>
    <x v="318"/>
    <n v="80"/>
    <x v="2"/>
    <n v="2024"/>
    <x v="0"/>
    <x v="1"/>
    <x v="0"/>
    <x v="1"/>
    <x v="2"/>
    <s v="Male"/>
  </r>
  <r>
    <x v="975"/>
    <x v="7"/>
    <x v="81"/>
    <x v="3"/>
    <x v="318"/>
    <n v="148"/>
    <x v="9"/>
    <n v="2024"/>
    <x v="0"/>
    <x v="2"/>
    <x v="2"/>
    <x v="2"/>
    <x v="2"/>
    <s v="Female"/>
  </r>
  <r>
    <x v="976"/>
    <x v="2"/>
    <x v="5"/>
    <x v="4"/>
    <x v="319"/>
    <n v="180"/>
    <x v="0"/>
    <n v="2024"/>
    <x v="2"/>
    <x v="0"/>
    <x v="0"/>
    <x v="1"/>
    <x v="2"/>
    <s v="Male"/>
  </r>
  <r>
    <x v="977"/>
    <x v="9"/>
    <x v="134"/>
    <x v="2"/>
    <x v="320"/>
    <n v="190"/>
    <x v="20"/>
    <n v="2024"/>
    <x v="3"/>
    <x v="0"/>
    <x v="2"/>
    <x v="1"/>
    <x v="7"/>
    <s v="Female"/>
  </r>
  <r>
    <x v="978"/>
    <x v="4"/>
    <x v="107"/>
    <x v="3"/>
    <x v="320"/>
    <n v="38"/>
    <x v="14"/>
    <n v="2024"/>
    <x v="3"/>
    <x v="0"/>
    <x v="0"/>
    <x v="0"/>
    <x v="4"/>
    <s v="Female"/>
  </r>
  <r>
    <x v="979"/>
    <x v="5"/>
    <x v="77"/>
    <x v="1"/>
    <x v="321"/>
    <n v="82"/>
    <x v="15"/>
    <n v="2024"/>
    <x v="4"/>
    <x v="0"/>
    <x v="3"/>
    <x v="2"/>
    <x v="5"/>
    <s v="Female"/>
  </r>
  <r>
    <x v="980"/>
    <x v="14"/>
    <x v="34"/>
    <x v="3"/>
    <x v="322"/>
    <n v="88"/>
    <x v="3"/>
    <n v="2024"/>
    <x v="0"/>
    <x v="0"/>
    <x v="1"/>
    <x v="2"/>
    <x v="12"/>
    <s v="Female"/>
  </r>
  <r>
    <x v="981"/>
    <x v="3"/>
    <x v="129"/>
    <x v="4"/>
    <x v="322"/>
    <n v="42"/>
    <x v="17"/>
    <n v="2024"/>
    <x v="0"/>
    <x v="0"/>
    <x v="2"/>
    <x v="1"/>
    <x v="3"/>
    <s v="Female"/>
  </r>
  <r>
    <x v="982"/>
    <x v="10"/>
    <x v="163"/>
    <x v="0"/>
    <x v="323"/>
    <n v="64"/>
    <x v="16"/>
    <n v="2024"/>
    <x v="1"/>
    <x v="4"/>
    <x v="1"/>
    <x v="1"/>
    <x v="8"/>
    <s v="Male"/>
  </r>
  <r>
    <x v="983"/>
    <x v="7"/>
    <x v="115"/>
    <x v="0"/>
    <x v="323"/>
    <n v="105"/>
    <x v="42"/>
    <n v="2024"/>
    <x v="1"/>
    <x v="1"/>
    <x v="3"/>
    <x v="2"/>
    <x v="2"/>
    <s v="Female"/>
  </r>
  <r>
    <x v="984"/>
    <x v="1"/>
    <x v="20"/>
    <x v="2"/>
    <x v="323"/>
    <n v="25"/>
    <x v="6"/>
    <n v="2024"/>
    <x v="1"/>
    <x v="2"/>
    <x v="2"/>
    <x v="0"/>
    <x v="1"/>
    <s v="Male"/>
  </r>
  <r>
    <x v="985"/>
    <x v="0"/>
    <x v="31"/>
    <x v="1"/>
    <x v="324"/>
    <n v="176"/>
    <x v="6"/>
    <n v="2024"/>
    <x v="2"/>
    <x v="0"/>
    <x v="2"/>
    <x v="0"/>
    <x v="0"/>
    <s v="Male"/>
  </r>
  <r>
    <x v="986"/>
    <x v="0"/>
    <x v="32"/>
    <x v="3"/>
    <x v="325"/>
    <n v="46"/>
    <x v="19"/>
    <n v="2024"/>
    <x v="3"/>
    <x v="0"/>
    <x v="0"/>
    <x v="0"/>
    <x v="0"/>
    <s v="Male"/>
  </r>
  <r>
    <x v="987"/>
    <x v="9"/>
    <x v="113"/>
    <x v="0"/>
    <x v="325"/>
    <n v="164"/>
    <x v="4"/>
    <n v="2024"/>
    <x v="3"/>
    <x v="0"/>
    <x v="0"/>
    <x v="1"/>
    <x v="7"/>
    <s v="Female"/>
  </r>
  <r>
    <x v="988"/>
    <x v="10"/>
    <x v="55"/>
    <x v="0"/>
    <x v="326"/>
    <n v="64"/>
    <x v="14"/>
    <n v="2024"/>
    <x v="4"/>
    <x v="1"/>
    <x v="0"/>
    <x v="1"/>
    <x v="8"/>
    <s v="Male"/>
  </r>
  <r>
    <x v="989"/>
    <x v="8"/>
    <x v="96"/>
    <x v="4"/>
    <x v="326"/>
    <n v="205"/>
    <x v="14"/>
    <n v="2024"/>
    <x v="4"/>
    <x v="0"/>
    <x v="0"/>
    <x v="2"/>
    <x v="6"/>
    <s v="Male"/>
  </r>
  <r>
    <x v="990"/>
    <x v="2"/>
    <x v="155"/>
    <x v="4"/>
    <x v="327"/>
    <n v="100"/>
    <x v="19"/>
    <n v="2024"/>
    <x v="5"/>
    <x v="1"/>
    <x v="0"/>
    <x v="1"/>
    <x v="2"/>
    <s v="Male"/>
  </r>
  <r>
    <x v="991"/>
    <x v="4"/>
    <x v="101"/>
    <x v="1"/>
    <x v="327"/>
    <n v="111"/>
    <x v="19"/>
    <n v="2024"/>
    <x v="5"/>
    <x v="2"/>
    <x v="0"/>
    <x v="0"/>
    <x v="4"/>
    <s v="Female"/>
  </r>
  <r>
    <x v="992"/>
    <x v="3"/>
    <x v="77"/>
    <x v="2"/>
    <x v="327"/>
    <n v="80"/>
    <x v="8"/>
    <n v="2024"/>
    <x v="5"/>
    <x v="0"/>
    <x v="2"/>
    <x v="1"/>
    <x v="3"/>
    <s v="Female"/>
  </r>
  <r>
    <x v="993"/>
    <x v="10"/>
    <x v="48"/>
    <x v="3"/>
    <x v="327"/>
    <n v="50"/>
    <x v="1"/>
    <n v="2024"/>
    <x v="5"/>
    <x v="0"/>
    <x v="1"/>
    <x v="1"/>
    <x v="8"/>
    <s v="Male"/>
  </r>
  <r>
    <x v="994"/>
    <x v="3"/>
    <x v="97"/>
    <x v="0"/>
    <x v="328"/>
    <n v="165"/>
    <x v="2"/>
    <n v="2024"/>
    <x v="6"/>
    <x v="0"/>
    <x v="0"/>
    <x v="1"/>
    <x v="3"/>
    <s v="Female"/>
  </r>
  <r>
    <x v="995"/>
    <x v="8"/>
    <x v="22"/>
    <x v="0"/>
    <x v="328"/>
    <n v="28"/>
    <x v="10"/>
    <n v="2024"/>
    <x v="6"/>
    <x v="0"/>
    <x v="2"/>
    <x v="2"/>
    <x v="6"/>
    <s v="Male"/>
  </r>
  <r>
    <x v="996"/>
    <x v="5"/>
    <x v="76"/>
    <x v="3"/>
    <x v="328"/>
    <n v="215"/>
    <x v="11"/>
    <n v="2024"/>
    <x v="6"/>
    <x v="1"/>
    <x v="2"/>
    <x v="2"/>
    <x v="5"/>
    <s v="Female"/>
  </r>
  <r>
    <x v="997"/>
    <x v="7"/>
    <x v="148"/>
    <x v="0"/>
    <x v="329"/>
    <n v="115"/>
    <x v="24"/>
    <n v="2024"/>
    <x v="0"/>
    <x v="1"/>
    <x v="3"/>
    <x v="2"/>
    <x v="2"/>
    <s v="Female"/>
  </r>
  <r>
    <x v="998"/>
    <x v="6"/>
    <x v="114"/>
    <x v="0"/>
    <x v="329"/>
    <n v="64"/>
    <x v="20"/>
    <n v="2024"/>
    <x v="0"/>
    <x v="1"/>
    <x v="2"/>
    <x v="2"/>
    <x v="4"/>
    <s v="Female"/>
  </r>
  <r>
    <x v="999"/>
    <x v="9"/>
    <x v="59"/>
    <x v="2"/>
    <x v="329"/>
    <n v="40"/>
    <x v="10"/>
    <n v="2024"/>
    <x v="0"/>
    <x v="0"/>
    <x v="2"/>
    <x v="1"/>
    <x v="7"/>
    <s v="Fema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41"/>
    <x v="0"/>
  </r>
  <r>
    <x v="1"/>
    <x v="0"/>
    <n v="31"/>
    <x v="1"/>
  </r>
  <r>
    <x v="2"/>
    <x v="0"/>
    <n v="26"/>
    <x v="2"/>
  </r>
  <r>
    <x v="3"/>
    <x v="0"/>
    <n v="36"/>
    <x v="2"/>
  </r>
  <r>
    <x v="4"/>
    <x v="0"/>
    <n v="37"/>
    <x v="0"/>
  </r>
  <r>
    <x v="5"/>
    <x v="0"/>
    <n v="23"/>
    <x v="0"/>
  </r>
  <r>
    <x v="6"/>
    <x v="1"/>
    <n v="22"/>
    <x v="1"/>
  </r>
  <r>
    <x v="7"/>
    <x v="1"/>
    <n v="42"/>
    <x v="1"/>
  </r>
  <r>
    <x v="8"/>
    <x v="1"/>
    <n v="25"/>
    <x v="0"/>
  </r>
  <r>
    <x v="9"/>
    <x v="1"/>
    <n v="30"/>
    <x v="1"/>
  </r>
  <r>
    <x v="10"/>
    <x v="1"/>
    <n v="30"/>
    <x v="2"/>
  </r>
  <r>
    <x v="11"/>
    <x v="1"/>
    <n v="28"/>
    <x v="2"/>
  </r>
  <r>
    <x v="12"/>
    <x v="1"/>
    <n v="37"/>
    <x v="1"/>
  </r>
  <r>
    <x v="13"/>
    <x v="1"/>
    <n v="38"/>
    <x v="0"/>
  </r>
  <r>
    <x v="14"/>
    <x v="1"/>
    <n v="4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A4458-CD75-4985-A36F-93A702893EA1}" name="pvt_purchaseovermonths"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5">
  <location ref="A42:B54" firstHeaderRow="1" firstDataRow="1" firstDataCol="1"/>
  <pivotFields count="16">
    <pivotField compact="0" showAll="0"/>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pivotField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2">
    <i>
      <x v="1"/>
    </i>
    <i>
      <x v="2"/>
    </i>
    <i>
      <x v="3"/>
    </i>
    <i>
      <x v="4"/>
    </i>
    <i>
      <x v="5"/>
    </i>
    <i>
      <x v="6"/>
    </i>
    <i>
      <x v="7"/>
    </i>
    <i>
      <x v="8"/>
    </i>
    <i>
      <x v="9"/>
    </i>
    <i>
      <x v="10"/>
    </i>
    <i>
      <x v="11"/>
    </i>
    <i>
      <x v="12"/>
    </i>
  </rowItems>
  <colItems count="1">
    <i/>
  </colItems>
  <dataFields count="1">
    <dataField name="Sum of Purchase Amount" fld="5"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3527E-7122-4081-A3E3-0C696FC591CF}" name="pvt_customerscityrate"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5">
  <location ref="D60:E63" firstHeaderRow="1" firstDataRow="1" firstDataCol="1"/>
  <pivotFields count="16">
    <pivotField compact="0" showAll="0"/>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dataField="1"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axis="axisRow"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x v="2"/>
    </i>
  </rowItems>
  <colItems count="1">
    <i/>
  </colItems>
  <dataFields count="1">
    <dataField name="Average of Satisfaction Rating" fld="6" subtotal="average" baseField="11"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636FD-DFED-403E-B148-74C0E96D0824}" name="pvt_agentsatsficationrate" cacheId="0"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9">
  <location ref="D32:E37" firstHeaderRow="1" firstDataRow="1" firstDataCol="1"/>
  <pivotFields count="16">
    <pivotField compact="0" showAll="0"/>
    <pivotField compact="0" showAll="0"/>
    <pivotField compact="0"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dataField="1"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Average of Satisfaction Rating" fld="6" subtotal="average" baseField="3" baseItem="0"/>
  </dataFields>
  <formats count="1">
    <format dxfId="1">
      <pivotArea outline="0" collapsedLevelsAreSubtotals="1" fieldPosition="0"/>
    </format>
  </format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ECFBC-4D1A-4A36-8B1B-62C4065C048E}" name="pvt_malefemale"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65:E67" firstHeaderRow="1" firstDataRow="1" firstDataCol="1"/>
  <pivotFields count="4">
    <pivotField dataField="1" showAll="0">
      <items count="16">
        <item x="0"/>
        <item x="1"/>
        <item x="2"/>
        <item x="3"/>
        <item x="4"/>
        <item x="5"/>
        <item x="6"/>
        <item x="7"/>
        <item x="8"/>
        <item x="9"/>
        <item x="10"/>
        <item x="11"/>
        <item x="12"/>
        <item x="13"/>
        <item x="14"/>
        <item t="default"/>
      </items>
    </pivotField>
    <pivotField axis="axisRow" showAll="0">
      <items count="3">
        <item x="1"/>
        <item x="0"/>
        <item t="default"/>
      </items>
    </pivotField>
    <pivotField showAll="0"/>
    <pivotField showAll="0">
      <items count="4">
        <item x="2"/>
        <item x="1"/>
        <item x="0"/>
        <item t="default"/>
      </items>
    </pivotField>
  </pivotFields>
  <rowFields count="1">
    <field x="1"/>
  </rowFields>
  <rowItems count="2">
    <i>
      <x/>
    </i>
    <i>
      <x v="1"/>
    </i>
  </rowItems>
  <colItems count="1">
    <i/>
  </colItems>
  <dataFields count="1">
    <dataField name="Count of Customer ID" fld="0" subtotal="count" showDataAs="percentOfTotal" baseField="1" baseItem="0" numFmtId="9"/>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83706D-74EB-4D41-A72F-78BB72E7CB98}" name="pvt_customerskpi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57:E58" firstHeaderRow="0" firstDataRow="1" firstDataCol="0"/>
  <pivotFields count="4">
    <pivotField dataField="1" showAll="0">
      <items count="16">
        <item x="0"/>
        <item x="1"/>
        <item x="2"/>
        <item x="3"/>
        <item x="4"/>
        <item x="5"/>
        <item x="6"/>
        <item x="7"/>
        <item x="8"/>
        <item x="9"/>
        <item x="10"/>
        <item x="11"/>
        <item x="12"/>
        <item x="13"/>
        <item x="14"/>
        <item t="default"/>
      </items>
    </pivotField>
    <pivotField showAll="0">
      <items count="3">
        <item x="1"/>
        <item x="0"/>
        <item t="default"/>
      </items>
    </pivotField>
    <pivotField dataField="1" showAll="0"/>
    <pivotField showAll="0">
      <items count="4">
        <item x="2"/>
        <item x="1"/>
        <item x="0"/>
        <item t="default"/>
      </items>
    </pivotField>
  </pivotFields>
  <rowItems count="1">
    <i/>
  </rowItems>
  <colFields count="1">
    <field x="-2"/>
  </colFields>
  <colItems count="2">
    <i>
      <x/>
    </i>
    <i i="1">
      <x v="1"/>
    </i>
  </colItems>
  <dataFields count="2">
    <dataField name="Unique customers" fld="0" subtotal="count" baseField="0" baseItem="1"/>
    <dataField name="Average of Age"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45E122-1632-4A72-BF64-437B2490C2AB}" name="pvt_top5customers"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24">
  <location ref="D86:E91" firstHeaderRow="1" firstDataRow="1" firstDataCol="1"/>
  <pivotFields count="16">
    <pivotField dataField="1"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compact="0"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3"/>
    </i>
    <i>
      <x v="4"/>
    </i>
    <i>
      <x v="10"/>
    </i>
    <i>
      <x v="9"/>
    </i>
    <i>
      <x v="11"/>
    </i>
  </rowItems>
  <colItems count="1">
    <i/>
  </colItems>
  <dataFields count="1">
    <dataField name="Count of Call number" fld="0" subtotal="count" baseField="0" baseItem="0" numFmtId="1"/>
  </dataFields>
  <formats count="1">
    <format dxfId="3">
      <pivotArea outline="0" collapsedLevelsAreSubtotals="1" fieldPosition="0"/>
    </format>
  </formats>
  <chartFormats count="3">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72B9E-8E46-4882-9F45-40A441F2E79C}" name="pvt_callsperagent"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3">
  <location ref="D23:E28" firstHeaderRow="1" firstDataRow="1" firstDataCol="1"/>
  <pivotFields count="16">
    <pivotField dataField="1" compact="0" showAll="0"/>
    <pivotField compact="0" showAll="0"/>
    <pivotField compact="0" showAll="0"/>
    <pivotField axis="axisRow"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Count of Call number" fld="0" subtotal="count" baseField="0"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6B8B92-6849-473D-9579-27D26491B7CF}" name="pvt_agebysatisfaction"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20">
  <location ref="D69:E82" firstHeaderRow="1" firstDataRow="1" firstDataCol="1"/>
  <pivotFields count="16">
    <pivotField compact="0" showAll="0"/>
    <pivotField compact="0" showAll="0">
      <items count="16">
        <item x="13"/>
        <item x="8"/>
        <item x="0"/>
        <item x="1"/>
        <item x="2"/>
        <item x="10"/>
        <item x="5"/>
        <item x="14"/>
        <item x="9"/>
        <item x="6"/>
        <item x="4"/>
        <item x="12"/>
        <item x="7"/>
        <item x="3"/>
        <item x="11"/>
        <item t="default"/>
      </items>
    </pivotField>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dataField="1"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items count="4">
        <item x="0"/>
        <item x="2"/>
        <item x="1"/>
        <item t="default"/>
      </items>
    </pivotField>
    <pivotField axis="axisRow"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i>
    <i>
      <x v="1"/>
    </i>
    <i>
      <x v="2"/>
    </i>
    <i>
      <x v="3"/>
    </i>
    <i>
      <x v="4"/>
    </i>
    <i>
      <x v="5"/>
    </i>
    <i>
      <x v="6"/>
    </i>
    <i>
      <x v="7"/>
    </i>
    <i>
      <x v="8"/>
    </i>
    <i>
      <x v="9"/>
    </i>
    <i>
      <x v="10"/>
    </i>
    <i>
      <x v="11"/>
    </i>
    <i>
      <x v="12"/>
    </i>
  </rowItems>
  <colItems count="1">
    <i/>
  </colItems>
  <dataFields count="1">
    <dataField name="Average of Satisfaction Rating" fld="6" subtotal="average" baseField="12" baseItem="0" numFmtId="165"/>
  </dataFields>
  <formats count="1">
    <format dxfId="4">
      <pivotArea outline="0" collapsedLevelsAreSubtotals="1" fieldPosition="0"/>
    </format>
  </formats>
  <chartFormats count="1">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E69D40-25A8-470F-AE4B-FE7038DC2CE7}" name="pvt_callsovermonths"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1">
  <location ref="A25:B37" firstHeaderRow="1" firstDataRow="1" firstDataCol="1"/>
  <pivotFields count="16">
    <pivotField dataField="1" compact="0" showAll="0"/>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pivotField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2">
    <i>
      <x v="1"/>
    </i>
    <i>
      <x v="2"/>
    </i>
    <i>
      <x v="3"/>
    </i>
    <i>
      <x v="4"/>
    </i>
    <i>
      <x v="5"/>
    </i>
    <i>
      <x v="6"/>
    </i>
    <i>
      <x v="7"/>
    </i>
    <i>
      <x v="8"/>
    </i>
    <i>
      <x v="9"/>
    </i>
    <i>
      <x v="10"/>
    </i>
    <i>
      <x v="11"/>
    </i>
    <i>
      <x v="12"/>
    </i>
  </rowItems>
  <colItems count="1">
    <i/>
  </colItems>
  <dataFields count="1">
    <dataField name="Count of Call number"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5" count="1" selected="0">
            <x v="11"/>
          </reference>
        </references>
      </pivotArea>
    </chartFormat>
    <chartFormat chart="10" format="6">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B84874-AD19-4767-AA61-0C329CFD932B}" name="pvt_purchaseperagent"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5">
  <location ref="D4:E9" firstHeaderRow="1" firstDataRow="1" firstDataCol="1"/>
  <pivotFields count="16">
    <pivotField compact="0" showAll="0"/>
    <pivotField compact="0" showAll="0"/>
    <pivotField compact="0" showAll="0"/>
    <pivotField axis="axisRow"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Total Purchase 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1A4233-767E-4C81-9A49-7B7E22BD1DFB}" name="pvt_"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9">
  <location ref="D15:E18" firstHeaderRow="1" firstDataRow="1" firstDataCol="1"/>
  <pivotFields count="16">
    <pivotField dataField="1" compact="0" showAll="0"/>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axis="axisRow"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11"/>
  </rowFields>
  <rowItems count="3">
    <i>
      <x/>
    </i>
    <i>
      <x v="1"/>
    </i>
    <i>
      <x v="2"/>
    </i>
  </rowItems>
  <colItems count="1">
    <i/>
  </colItems>
  <dataFields count="1">
    <dataField name="Count of Call number" fld="0" subtotal="count" baseField="0" baseItem="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1" count="1" selected="0">
            <x v="0"/>
          </reference>
        </references>
      </pivotArea>
    </chartFormat>
    <chartFormat chart="5" format="2">
      <pivotArea type="data" outline="0" fieldPosition="0">
        <references count="2">
          <reference field="4294967294" count="1" selected="0">
            <x v="0"/>
          </reference>
          <reference field="11" count="1" selected="0">
            <x v="2"/>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1" count="1" selected="0">
            <x v="0"/>
          </reference>
        </references>
      </pivotArea>
    </chartFormat>
    <chartFormat chart="7" format="6">
      <pivotArea type="data" outline="0" fieldPosition="0">
        <references count="2">
          <reference field="4294967294" count="1" selected="0">
            <x v="0"/>
          </reference>
          <reference field="11" count="1" selected="0">
            <x v="1"/>
          </reference>
        </references>
      </pivotArea>
    </chartFormat>
    <chartFormat chart="7" format="7">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C968F9-8858-4220-9748-C381C7DB1840}" name="pvt_kpis" cacheId="0" dataOnRows="1"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location ref="A3:B7" firstHeaderRow="1" firstDataRow="1" firstDataCol="1"/>
  <pivotFields count="16">
    <pivotField dataField="1" compact="0" showAll="0"/>
    <pivotField compact="0" showAll="0"/>
    <pivotField dataField="1"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showAll="0"/>
    <pivotField dataField="1"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Total Calls" fld="0" subtotal="count" baseField="0" baseItem="0"/>
    <dataField name="Average duration" fld="2" subtotal="average" baseField="0" baseItem="0"/>
    <dataField name="Average satisfaction" fld="6" subtotal="average" baseField="0" baseItem="0"/>
    <dataField name="Total Purchase Amount" fld="5" baseField="0" baseItem="0"/>
  </dataFields>
  <formats count="2">
    <format dxfId="6">
      <pivotArea fieldPosition="0">
        <references count="1">
          <reference field="4294967294" count="1">
            <x v="1"/>
          </reference>
        </references>
      </pivotArea>
    </format>
    <format dxfId="5">
      <pivotArea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D6B446-61ED-4007-B2C3-78DA2713DDA7}" name="pvt_callsbydays" cacheId="0" dataOnRows="1" applyNumberFormats="0" applyBorderFormats="0" applyFontFormats="0" applyPatternFormats="0" applyAlignmentFormats="0" applyWidthHeightFormats="1" dataCaption="Values" updatedVersion="8" minRefreshableVersion="5" rowGrandTotals="0" colGrandTotals="0" itemPrintTitles="1" createdVersion="8" indent="0" compact="0" outline="1" outlineData="1" compactData="0" multipleFieldFilters="0" chartFormat="7">
  <location ref="A13:B20" firstHeaderRow="1" firstDataRow="1" firstDataCol="1"/>
  <pivotFields count="16">
    <pivotField dataField="1" compact="0" showAll="0"/>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pivotField axis="axisRow"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compact="0" showAll="0"/>
    <pivotField compact="0" showAll="0">
      <items count="14">
        <item x="5"/>
        <item x="8"/>
        <item x="7"/>
        <item x="0"/>
        <item x="10"/>
        <item x="4"/>
        <item x="6"/>
        <item x="1"/>
        <item x="2"/>
        <item x="3"/>
        <item x="11"/>
        <item x="12"/>
        <item x="9"/>
        <item t="default"/>
      </items>
    </pivotField>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x v="6"/>
    </i>
  </rowItems>
  <colItems count="1">
    <i/>
  </colItems>
  <dataFields count="1">
    <dataField name="Count of Call number"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9DA1BD-E154-4713-B5E6-16CFC503F8CB}" name="pvt_callsbycity" cacheId="0" dataOnRows="1" applyNumberFormats="0" applyBorderFormats="0" applyFontFormats="0" applyPatternFormats="0" applyAlignmentFormats="0" applyWidthHeightFormats="1" dataCaption="Values" updatedVersion="8" minRefreshableVersion="3" rowGrandTotals="0" colGrandTotals="0" itemPrintTitles="1" createdVersion="8" indent="0" compact="0" outline="1" outlineData="1" compactData="0" multipleFieldFilters="0" chartFormat="16">
  <location ref="I54:J57" firstHeaderRow="1" firstDataRow="1" firstDataCol="1"/>
  <pivotFields count="16">
    <pivotField dataField="1"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showAll="0"/>
    <pivotField compact="0" showAll="0"/>
    <pivotField compact="0" showAll="0">
      <items count="6">
        <item x="2"/>
        <item x="1"/>
        <item x="4"/>
        <item x="3"/>
        <item x="0"/>
        <item t="default"/>
      </items>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pivotField compact="0" showAll="0">
      <items count="8">
        <item x="0"/>
        <item x="1"/>
        <item x="2"/>
        <item x="3"/>
        <item x="4"/>
        <item x="5"/>
        <item x="6"/>
        <item t="default"/>
      </items>
    </pivotField>
    <pivotField compact="0" showAll="0"/>
    <pivotField compact="0" showAll="0">
      <items count="7">
        <item x="4"/>
        <item x="5"/>
        <item x="3"/>
        <item x="1"/>
        <item x="2"/>
        <item x="0"/>
        <item t="default"/>
      </items>
    </pivotField>
    <pivotField axis="axisRow" compact="0" showAll="0">
      <items count="4">
        <item x="0"/>
        <item x="2"/>
        <item x="1"/>
        <item t="default"/>
      </items>
    </pivotField>
    <pivotField compact="0" showAll="0">
      <items count="14">
        <item x="5"/>
        <item x="8"/>
        <item x="7"/>
        <item x="0"/>
        <item x="10"/>
        <item x="4"/>
        <item x="6"/>
        <item x="1"/>
        <item x="2"/>
        <item x="3"/>
        <item x="11"/>
        <item x="12"/>
        <item x="9"/>
        <item t="default"/>
      </items>
    </pivotField>
    <pivotField compact="0" showAll="0"/>
    <pivotField compact="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x v="2"/>
    </i>
  </rowItems>
  <colItems count="1">
    <i/>
  </colItems>
  <dataFields count="1">
    <dataField name="Count of Call number" fld="0" subtotal="count"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4ED030D-42E4-42AF-A371-37E46B327982}" sourceName="Representative">
  <pivotTables>
    <pivotTable tabId="5" name="pvt_purchaseovermonths"/>
    <pivotTable tabId="5" name="pvt_kpis"/>
    <pivotTable tabId="5" name="pvt_callsbydays"/>
    <pivotTable tabId="5" name="pvt_callsovermonths"/>
    <pivotTable tabId="5" name="pvt_purchaseperagent"/>
    <pivotTable tabId="5" name="pvt_"/>
    <pivotTable tabId="5" name="pvt_callsperagent"/>
    <pivotTable tabId="5" name="pvt_agentsatsficationrate"/>
    <pivotTable tabId="5" name="pvt_customerscityrate"/>
    <pivotTable tabId="5" name="pvt_agebysatisfaction"/>
    <pivotTable tabId="5" name="pvt_callsbycity"/>
    <pivotTable tabId="5" name="pvt_top5customers"/>
  </pivotTables>
  <data>
    <tabular pivotCacheId="168552301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rounded" xr10:uid="{C5E4CF06-FF48-466E-9528-6E362BA16396}" sourceName="Rating rounded">
  <pivotTables>
    <pivotTable tabId="5" name="pvt_kpis"/>
    <pivotTable tabId="5" name="pvt_callsbydays"/>
    <pivotTable tabId="5" name="pvt_callsovermonths"/>
    <pivotTable tabId="5" name="pvt_purchaseovermonths"/>
    <pivotTable tabId="5" name="pvt_purchaseperagent"/>
    <pivotTable tabId="5" name="pvt_"/>
    <pivotTable tabId="5" name="pvt_callsperagent"/>
    <pivotTable tabId="5" name="pvt_agentsatsficationrate"/>
    <pivotTable tabId="5" name="pvt_customerscityrate"/>
    <pivotTable tabId="5" name="pvt_agebysatisfaction"/>
    <pivotTable tabId="5" name="pvt_callsbycity"/>
    <pivotTable tabId="5" name="pvt_top5customers"/>
  </pivotTables>
  <data>
    <tabular pivotCacheId="1685523014">
      <items count="6">
        <i x="4" s="1"/>
        <i x="5" s="1"/>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767F4D81-DB70-43E4-8768-DA8A54E60502}" sourceName="Day of week">
  <pivotTables>
    <pivotTable tabId="5" name="pvt_"/>
    <pivotTable tabId="5" name="pvt_agentsatsficationrate"/>
    <pivotTable tabId="5" name="pvt_callsbydays"/>
    <pivotTable tabId="5" name="pvt_callsovermonths"/>
    <pivotTable tabId="5" name="pvt_callsperagent"/>
    <pivotTable tabId="5" name="pvt_kpis"/>
    <pivotTable tabId="5" name="pvt_purchaseovermonths"/>
    <pivotTable tabId="5" name="pvt_purchaseperagent"/>
    <pivotTable tabId="5" name="pvt_customerscityrate"/>
    <pivotTable tabId="5" name="pvt_agebysatisfaction"/>
    <pivotTable tabId="5" name="pvt_callsbycity"/>
    <pivotTable tabId="5" name="pvt_top5customers"/>
  </pivotTables>
  <data>
    <tabular pivotCacheId="1685523014">
      <items count="7">
        <i x="0" s="1"/>
        <i x="1" s="1"/>
        <i x="2" s="1"/>
        <i x="3" s="1"/>
        <i x="4" s="1"/>
        <i x="5"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BE4D9D99-622A-4AED-A295-B488F6D9C7C4}" sourceName="Customer ID">
  <pivotTables>
    <pivotTable tabId="5" name="pvt_agebysatisfaction"/>
  </pivotTables>
  <data>
    <tabular pivotCacheId="1685523014">
      <items count="15">
        <i x="13" s="1"/>
        <i x="8" s="1"/>
        <i x="0" s="1"/>
        <i x="1" s="1"/>
        <i x="2" s="1"/>
        <i x="10" s="1"/>
        <i x="5" s="1"/>
        <i x="14" s="1"/>
        <i x="9" s="1"/>
        <i x="6" s="1"/>
        <i x="4" s="1"/>
        <i x="12" s="1"/>
        <i x="7" s="1"/>
        <i x="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0213F1D-33DF-46CD-BCFA-2CF86560DA20}" cache="Slicer_Representative" caption="Representative" style="New slicer 2" rowHeight="254000"/>
  <slicer name="Rating rounded" xr10:uid="{5A3987F5-D081-46DC-94F4-006FA4D482A0}" cache="Slicer_Rating_rounded" caption="Rating" columnCount="2" style="New slicer 2"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4BBF8356-BDC1-4126-ACC1-B6CB3523D081}" cache="Slicer_Representative" caption="Representative" style="New slicer 2" rowHeight="254000"/>
  <slicer name="Day of week" xr10:uid="{D82F3A65-C763-4ACF-97FE-36C937FCF232}" cache="Slicer_Day_of_week" caption="Day of Week" style="New slicer 2"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12E0F0C2-4DF1-4851-A930-7863A14FC482}" cache="Slicer_Customer_ID" caption="Customer ID" style="New slicer 2"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O1003" totalsRowShown="0">
  <autoFilter ref="B3:O1003" xr:uid="{A3C59B71-D053-4B57-AB1E-899F1C5F06CA}"/>
  <tableColumns count="14">
    <tableColumn id="1" xr3:uid="{A2AD6D5F-C481-4C4C-930A-923A5754639A}" name="Call number"/>
    <tableColumn id="2" xr3:uid="{6E1FEEB5-4749-4689-ACB4-6B80FABDC996}" name="Customer ID"/>
    <tableColumn id="3" xr3:uid="{BEB7BC5B-9542-4200-B3AF-209D2A736D88}" name="Duration" dataDxfId="24"/>
    <tableColumn id="4" xr3:uid="{A1817995-EFD7-4CEA-BF34-093CA60B7490}" name="Representative" dataDxfId="23"/>
    <tableColumn id="5" xr3:uid="{5A35565E-8707-4DED-AD15-A0669D67B382}" name="Date of Call" dataDxfId="22"/>
    <tableColumn id="6" xr3:uid="{F2E4F158-B41F-47BC-8DF8-DFCADFEE4E40}" name="Purchase Amount"/>
    <tableColumn id="7" xr3:uid="{04B291B5-47BD-4F78-8FD8-D1551CCA6BD9}" name="Satisfaction Rating"/>
    <tableColumn id="8" xr3:uid="{6E4123C0-0B17-43B8-A142-A1E540CE974C}" name="FY" dataDxfId="21">
      <calculatedColumnFormula>IF(MONTH(calls[[#This Row],[Date of Call]])&lt;=6, YEAR(calls[[#This Row],[Date of Call]]), YEAR(calls[[#This Row],[Date of Call]])+1)</calculatedColumnFormula>
    </tableColumn>
    <tableColumn id="9" xr3:uid="{199FA271-5E9B-46CE-9BC6-2801F92CD17E}" name="Day of week" dataDxfId="20">
      <calculatedColumnFormula>TEXT(calls[[#This Row],[Date of Call]],"DDDD")</calculatedColumnFormula>
    </tableColumn>
    <tableColumn id="10" xr3:uid="{328CDB09-95B8-4D5E-9ED9-EF0D363735A1}" name="Duration Bucket" dataDxfId="1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8">
      <calculatedColumnFormula>ROUND(calls[[#This Row],[Satisfaction Rating]],0)</calculatedColumnFormula>
    </tableColumn>
    <tableColumn id="12" xr3:uid="{EB46AB77-8D27-4026-A30D-6BD9729AA82A}" name="City" dataDxfId="17">
      <calculatedColumnFormula>_xlfn.XLOOKUP(calls[[#This Row],[Customer ID]],customers[Customer ID],customers[City])</calculatedColumnFormula>
    </tableColumn>
    <tableColumn id="13" xr3:uid="{7631748F-816B-49A3-AA23-A63B901CFB96}" name="Age" dataDxfId="16">
      <calculatedColumnFormula>_xlfn.XLOOKUP(calls[[#This Row],[Customer ID]],customers[Customer ID],customers[Age])</calculatedColumnFormula>
    </tableColumn>
    <tableColumn id="14" xr3:uid="{BBB8DFE9-61C6-4701-8440-2B6D100FD0BC}" name="Gender" dataDxfId="15">
      <calculatedColumnFormula>_xlfn.XLOOKUP(calls[[#This Row],[Customer ID]],customers[Customer ID],customers[Gender])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P3:T18" totalsRowShown="0" headerRowDxfId="14" headerRowBorderDxfId="13" tableBorderDxfId="12" totalsRowBorderDxfId="11">
  <autoFilter ref="P3:T18" xr:uid="{27158F51-A707-4171-8A04-81FB0AABCBA5}"/>
  <tableColumns count="5">
    <tableColumn id="1" xr3:uid="{02688061-6A8C-4E23-B7FF-D00CD8B58CAC}" name="Customer ID" dataDxfId="10"/>
    <tableColumn id="2" xr3:uid="{771678B6-DB44-426B-9874-B4E421A440D5}" name="Gender" dataDxfId="9"/>
    <tableColumn id="3" xr3:uid="{B0D41C62-587E-494D-B49A-603F2C05F8D3}" name="Age" dataDxfId="8"/>
    <tableColumn id="4" xr3:uid="{663F92D6-FE31-4D81-9E01-8D066DDC8A88}" name="City" dataDxfId="7"/>
    <tableColumn id="5" xr3:uid="{8E45FF33-45CE-4614-8B85-AA2A12193437}" name="age grouping">
      <calculatedColumnFormula>IF(customers[[#This Row],[Age]]&lt;30,"20-29",IF(customers[[#This Row],[Age]]&lt;40,"30-39","40+"))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Call" xr10:uid="{3A0B9C44-2BC6-4F74-9602-31494D0CCFFF}" sourceName="Date of Call">
  <pivotTables>
    <pivotTable tabId="5" name="pvt_callsbydays"/>
  </pivotTables>
  <state minimalRefreshVersion="6" lastRefreshVersion="6" pivotCacheId="168552301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Call" xr10:uid="{09F33957-5C14-4155-A96E-A6D4E35FDC1E}" cache="NativeTimeline_Date_of_Call" caption="Date of Call" level="2" selectionLevel="2" scrollPosition="2023-05-28T00:00:00" style="TimeSlicerStyleLight1 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C83030-DC65-445D-BB38-18BFE1608BB4}">
  <we:reference id="wa200009404" version="1.0.0.8" store="en-US" storeType="OMEX"/>
  <we:alternateReferences>
    <we:reference id="wa200009404" version="1.0.0.8" store="en-US" storeType="OMEX"/>
  </we:alternateReferences>
  <we:properties>
    <we:property name="claude.fileId" value="&quot;f4c49ea2-3cb0-48e9-af6f-f0d6c528540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81" zoomScaleNormal="55" workbookViewId="0">
      <selection activeCell="T4" sqref="T4"/>
    </sheetView>
  </sheetViews>
  <sheetFormatPr defaultRowHeight="14.4" x14ac:dyDescent="0.55000000000000004"/>
  <cols>
    <col min="1" max="1" width="3.19921875" customWidth="1"/>
    <col min="2" max="2" width="24.25" bestFit="1" customWidth="1"/>
    <col min="3" max="3" width="13.44921875" bestFit="1" customWidth="1"/>
    <col min="4" max="4" width="10.69921875" bestFit="1" customWidth="1"/>
    <col min="5" max="5" width="17.75" bestFit="1" customWidth="1"/>
    <col min="6" max="6" width="14.69921875" bestFit="1" customWidth="1"/>
    <col min="7" max="7" width="17.796875" bestFit="1" customWidth="1"/>
    <col min="8" max="8" width="18.546875" bestFit="1" customWidth="1"/>
    <col min="9" max="9" width="7.94921875" bestFit="1" customWidth="1"/>
    <col min="10" max="10" width="12.8984375" bestFit="1" customWidth="1"/>
    <col min="11" max="11" width="16.5" bestFit="1" customWidth="1"/>
    <col min="12" max="12" width="15.6484375" bestFit="1" customWidth="1"/>
    <col min="13" max="13" width="10.44921875" customWidth="1"/>
    <col min="14" max="15" width="7.5" customWidth="1"/>
    <col min="16" max="16" width="13.44921875" bestFit="1" customWidth="1"/>
    <col min="17" max="17" width="9.046875" bestFit="1" customWidth="1"/>
    <col min="18" max="18" width="5.8984375" bestFit="1" customWidth="1"/>
    <col min="19" max="19" width="9.09765625" bestFit="1" customWidth="1"/>
    <col min="20" max="20" width="14" customWidth="1"/>
  </cols>
  <sheetData>
    <row r="1" spans="2:20" s="4" customFormat="1" ht="48" customHeight="1" x14ac:dyDescent="0.55000000000000004">
      <c r="B1" s="5" t="s">
        <v>1003</v>
      </c>
    </row>
    <row r="2" spans="2:20" x14ac:dyDescent="0.55000000000000004">
      <c r="Q2" s="1"/>
    </row>
    <row r="3" spans="2:20" x14ac:dyDescent="0.55000000000000004">
      <c r="B3" s="14" t="s">
        <v>25</v>
      </c>
      <c r="C3" s="14" t="s">
        <v>0</v>
      </c>
      <c r="D3" s="19" t="s">
        <v>1</v>
      </c>
      <c r="E3" s="15" t="s">
        <v>3</v>
      </c>
      <c r="F3" s="15" t="s">
        <v>4</v>
      </c>
      <c r="G3" s="14" t="s">
        <v>2</v>
      </c>
      <c r="H3" s="14" t="s">
        <v>994</v>
      </c>
      <c r="I3" t="s">
        <v>1036</v>
      </c>
      <c r="J3" t="s">
        <v>1037</v>
      </c>
      <c r="K3" t="s">
        <v>1038</v>
      </c>
      <c r="L3" t="s">
        <v>1039</v>
      </c>
      <c r="M3" t="s">
        <v>997</v>
      </c>
      <c r="N3" t="s">
        <v>996</v>
      </c>
      <c r="O3" t="s">
        <v>1089</v>
      </c>
      <c r="P3" s="8" t="s">
        <v>0</v>
      </c>
      <c r="Q3" s="9" t="s">
        <v>1089</v>
      </c>
      <c r="R3" s="9" t="s">
        <v>996</v>
      </c>
      <c r="S3" s="10" t="s">
        <v>997</v>
      </c>
      <c r="T3" s="9" t="s">
        <v>1100</v>
      </c>
    </row>
    <row r="4" spans="2:20" x14ac:dyDescent="0.55000000000000004">
      <c r="B4" t="s">
        <v>26</v>
      </c>
      <c r="C4" t="s">
        <v>20</v>
      </c>
      <c r="D4">
        <v>116</v>
      </c>
      <c r="E4" s="16" t="s">
        <v>10</v>
      </c>
      <c r="F4" s="17">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t="str">
        <f>_xlfn.XLOOKUP(calls[[#This Row],[Customer ID]],customers[Customer ID],customers[City])</f>
        <v>Cincinnati</v>
      </c>
      <c r="N4">
        <f>_xlfn.XLOOKUP(calls[[#This Row],[Customer ID]],customers[Customer ID],customers[Age])</f>
        <v>26</v>
      </c>
      <c r="O4" t="str">
        <f>_xlfn.XLOOKUP(calls[[#This Row],[Customer ID]],customers[Customer ID],customers[Gender])</f>
        <v>Male</v>
      </c>
      <c r="P4" s="6" t="s">
        <v>17</v>
      </c>
      <c r="Q4" s="3" t="s">
        <v>998</v>
      </c>
      <c r="R4" s="2">
        <v>41</v>
      </c>
      <c r="S4" s="7" t="s">
        <v>1000</v>
      </c>
      <c r="T4" s="7" t="str">
        <f>IF(customers[[#This Row],[Age]]&lt;30,"20-29",IF(customers[[#This Row],[Age]]&lt;40,"30-39","40+"))</f>
        <v>40+</v>
      </c>
    </row>
    <row r="5" spans="2:20" x14ac:dyDescent="0.55000000000000004">
      <c r="B5" t="s">
        <v>27</v>
      </c>
      <c r="C5" t="s">
        <v>12</v>
      </c>
      <c r="D5">
        <v>119</v>
      </c>
      <c r="E5" s="16" t="s">
        <v>10</v>
      </c>
      <c r="F5" s="17">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t="str">
        <f>_xlfn.XLOOKUP(calls[[#This Row],[Customer ID]],customers[Customer ID],customers[City])</f>
        <v>Cincinnati</v>
      </c>
      <c r="N5">
        <f>_xlfn.XLOOKUP(calls[[#This Row],[Customer ID]],customers[Customer ID],customers[Age])</f>
        <v>36</v>
      </c>
      <c r="O5" t="str">
        <f>_xlfn.XLOOKUP(calls[[#This Row],[Customer ID]],customers[Customer ID],customers[Gender])</f>
        <v>Male</v>
      </c>
      <c r="P5" s="6" t="s">
        <v>24</v>
      </c>
      <c r="Q5" s="3" t="s">
        <v>998</v>
      </c>
      <c r="R5" s="2">
        <v>31</v>
      </c>
      <c r="S5" s="7" t="s">
        <v>1001</v>
      </c>
      <c r="T5" s="7" t="str">
        <f>IF(customers[[#This Row],[Age]]&lt;30,"20-29",IF(customers[[#This Row],[Age]]&lt;40,"30-39","40+"))</f>
        <v>30-39</v>
      </c>
    </row>
    <row r="6" spans="2:20" x14ac:dyDescent="0.55000000000000004">
      <c r="B6" t="s">
        <v>28</v>
      </c>
      <c r="C6" t="s">
        <v>23</v>
      </c>
      <c r="D6">
        <v>68</v>
      </c>
      <c r="E6" s="16" t="s">
        <v>9</v>
      </c>
      <c r="F6" s="17">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t="str">
        <f>_xlfn.XLOOKUP(calls[[#This Row],[Customer ID]],customers[Customer ID],customers[City])</f>
        <v>Columbus</v>
      </c>
      <c r="N6">
        <f>_xlfn.XLOOKUP(calls[[#This Row],[Customer ID]],customers[Customer ID],customers[Age])</f>
        <v>37</v>
      </c>
      <c r="O6" t="str">
        <f>_xlfn.XLOOKUP(calls[[#This Row],[Customer ID]],customers[Customer ID],customers[Gender])</f>
        <v>Male</v>
      </c>
      <c r="P6" s="6" t="s">
        <v>20</v>
      </c>
      <c r="Q6" s="3" t="s">
        <v>998</v>
      </c>
      <c r="R6" s="2">
        <v>26</v>
      </c>
      <c r="S6" s="7" t="s">
        <v>1002</v>
      </c>
      <c r="T6" s="7" t="str">
        <f>IF(customers[[#This Row],[Age]]&lt;30,"20-29",IF(customers[[#This Row],[Age]]&lt;40,"30-39","40+"))</f>
        <v>20-29</v>
      </c>
    </row>
    <row r="7" spans="2:20" x14ac:dyDescent="0.55000000000000004">
      <c r="B7" t="s">
        <v>29</v>
      </c>
      <c r="C7" t="s">
        <v>21</v>
      </c>
      <c r="D7">
        <v>119</v>
      </c>
      <c r="E7" s="16" t="s">
        <v>9</v>
      </c>
      <c r="F7" s="17">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t="str">
        <f>_xlfn.XLOOKUP(calls[[#This Row],[Customer ID]],customers[Customer ID],customers[City])</f>
        <v>Columbus</v>
      </c>
      <c r="N7">
        <f>_xlfn.XLOOKUP(calls[[#This Row],[Customer ID]],customers[Customer ID],customers[Age])</f>
        <v>38</v>
      </c>
      <c r="O7" t="str">
        <f>_xlfn.XLOOKUP(calls[[#This Row],[Customer ID]],customers[Customer ID],customers[Gender])</f>
        <v>Female</v>
      </c>
      <c r="P7" s="6" t="s">
        <v>12</v>
      </c>
      <c r="Q7" s="3" t="s">
        <v>998</v>
      </c>
      <c r="R7" s="2">
        <v>36</v>
      </c>
      <c r="S7" s="7" t="s">
        <v>1002</v>
      </c>
      <c r="T7" s="7" t="str">
        <f>IF(customers[[#This Row],[Age]]&lt;30,"20-29",IF(customers[[#This Row],[Age]]&lt;40,"30-39","40+"))</f>
        <v>30-39</v>
      </c>
    </row>
    <row r="8" spans="2:20" x14ac:dyDescent="0.55000000000000004">
      <c r="B8" t="s">
        <v>30</v>
      </c>
      <c r="C8" t="s">
        <v>8</v>
      </c>
      <c r="D8">
        <v>128</v>
      </c>
      <c r="E8" s="16" t="s">
        <v>11</v>
      </c>
      <c r="F8" s="17">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t="str">
        <f>_xlfn.XLOOKUP(calls[[#This Row],[Customer ID]],customers[Customer ID],customers[City])</f>
        <v>Cincinnati</v>
      </c>
      <c r="N8">
        <f>_xlfn.XLOOKUP(calls[[#This Row],[Customer ID]],customers[Customer ID],customers[Age])</f>
        <v>30</v>
      </c>
      <c r="O8" t="str">
        <f>_xlfn.XLOOKUP(calls[[#This Row],[Customer ID]],customers[Customer ID],customers[Gender])</f>
        <v>Female</v>
      </c>
      <c r="P8" s="6" t="s">
        <v>23</v>
      </c>
      <c r="Q8" s="3" t="s">
        <v>998</v>
      </c>
      <c r="R8" s="2">
        <v>37</v>
      </c>
      <c r="S8" s="7" t="s">
        <v>1000</v>
      </c>
      <c r="T8" s="7" t="str">
        <f>IF(customers[[#This Row],[Age]]&lt;30,"20-29",IF(customers[[#This Row],[Age]]&lt;40,"30-39","40+"))</f>
        <v>30-39</v>
      </c>
    </row>
    <row r="9" spans="2:20" x14ac:dyDescent="0.55000000000000004">
      <c r="B9" t="s">
        <v>31</v>
      </c>
      <c r="C9" t="s">
        <v>8</v>
      </c>
      <c r="D9">
        <v>49</v>
      </c>
      <c r="E9" s="16" t="s">
        <v>9</v>
      </c>
      <c r="F9" s="17">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t="str">
        <f>_xlfn.XLOOKUP(calls[[#This Row],[Customer ID]],customers[Customer ID],customers[City])</f>
        <v>Cincinnati</v>
      </c>
      <c r="N9">
        <f>_xlfn.XLOOKUP(calls[[#This Row],[Customer ID]],customers[Customer ID],customers[Age])</f>
        <v>30</v>
      </c>
      <c r="O9" t="str">
        <f>_xlfn.XLOOKUP(calls[[#This Row],[Customer ID]],customers[Customer ID],customers[Gender])</f>
        <v>Female</v>
      </c>
      <c r="P9" s="6" t="s">
        <v>7</v>
      </c>
      <c r="Q9" s="3" t="s">
        <v>998</v>
      </c>
      <c r="R9" s="2">
        <v>23</v>
      </c>
      <c r="S9" s="7" t="s">
        <v>1000</v>
      </c>
      <c r="T9" s="7" t="str">
        <f>IF(customers[[#This Row],[Age]]&lt;30,"20-29",IF(customers[[#This Row],[Age]]&lt;40,"30-39","40+"))</f>
        <v>20-29</v>
      </c>
    </row>
    <row r="10" spans="2:20" x14ac:dyDescent="0.55000000000000004">
      <c r="B10" t="s">
        <v>32</v>
      </c>
      <c r="C10" t="s">
        <v>15</v>
      </c>
      <c r="D10">
        <v>84</v>
      </c>
      <c r="E10" s="16" t="s">
        <v>10</v>
      </c>
      <c r="F10" s="17">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t="str">
        <f>_xlfn.XLOOKUP(calls[[#This Row],[Customer ID]],customers[Customer ID],customers[City])</f>
        <v>Cleveland</v>
      </c>
      <c r="N10">
        <f>_xlfn.XLOOKUP(calls[[#This Row],[Customer ID]],customers[Customer ID],customers[Age])</f>
        <v>22</v>
      </c>
      <c r="O10" t="str">
        <f>_xlfn.XLOOKUP(calls[[#This Row],[Customer ID]],customers[Customer ID],customers[Gender])</f>
        <v>Female</v>
      </c>
      <c r="P10" s="6" t="s">
        <v>15</v>
      </c>
      <c r="Q10" s="3" t="s">
        <v>999</v>
      </c>
      <c r="R10" s="2">
        <v>22</v>
      </c>
      <c r="S10" s="7" t="s">
        <v>1001</v>
      </c>
      <c r="T10" s="7" t="str">
        <f>IF(customers[[#This Row],[Age]]&lt;30,"20-29",IF(customers[[#This Row],[Age]]&lt;40,"30-39","40+"))</f>
        <v>20-29</v>
      </c>
    </row>
    <row r="11" spans="2:20" x14ac:dyDescent="0.55000000000000004">
      <c r="B11" t="s">
        <v>33</v>
      </c>
      <c r="C11" t="s">
        <v>20</v>
      </c>
      <c r="D11">
        <v>103</v>
      </c>
      <c r="E11" s="16" t="s">
        <v>13</v>
      </c>
      <c r="F11" s="17">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t="str">
        <f>_xlfn.XLOOKUP(calls[[#This Row],[Customer ID]],customers[Customer ID],customers[City])</f>
        <v>Cincinnati</v>
      </c>
      <c r="N11">
        <f>_xlfn.XLOOKUP(calls[[#This Row],[Customer ID]],customers[Customer ID],customers[Age])</f>
        <v>26</v>
      </c>
      <c r="O11" t="str">
        <f>_xlfn.XLOOKUP(calls[[#This Row],[Customer ID]],customers[Customer ID],customers[Gender])</f>
        <v>Male</v>
      </c>
      <c r="P11" s="6" t="s">
        <v>5</v>
      </c>
      <c r="Q11" s="3" t="s">
        <v>999</v>
      </c>
      <c r="R11" s="2">
        <v>42</v>
      </c>
      <c r="S11" s="7" t="s">
        <v>1001</v>
      </c>
      <c r="T11" s="7" t="str">
        <f>IF(customers[[#This Row],[Age]]&lt;30,"20-29",IF(customers[[#This Row],[Age]]&lt;40,"30-39","40+"))</f>
        <v>40+</v>
      </c>
    </row>
    <row r="12" spans="2:20" x14ac:dyDescent="0.55000000000000004">
      <c r="B12" t="s">
        <v>34</v>
      </c>
      <c r="C12" t="s">
        <v>23</v>
      </c>
      <c r="D12">
        <v>31</v>
      </c>
      <c r="E12" s="16" t="s">
        <v>9</v>
      </c>
      <c r="F12" s="17">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t="str">
        <f>_xlfn.XLOOKUP(calls[[#This Row],[Customer ID]],customers[Customer ID],customers[City])</f>
        <v>Columbus</v>
      </c>
      <c r="N12">
        <f>_xlfn.XLOOKUP(calls[[#This Row],[Customer ID]],customers[Customer ID],customers[Age])</f>
        <v>37</v>
      </c>
      <c r="O12" t="str">
        <f>_xlfn.XLOOKUP(calls[[#This Row],[Customer ID]],customers[Customer ID],customers[Gender])</f>
        <v>Male</v>
      </c>
      <c r="P12" s="6" t="s">
        <v>22</v>
      </c>
      <c r="Q12" s="3" t="s">
        <v>999</v>
      </c>
      <c r="R12" s="2">
        <v>25</v>
      </c>
      <c r="S12" s="7" t="s">
        <v>1000</v>
      </c>
      <c r="T12" s="7" t="str">
        <f>IF(customers[[#This Row],[Age]]&lt;30,"20-29",IF(customers[[#This Row],[Age]]&lt;40,"30-39","40+"))</f>
        <v>20-29</v>
      </c>
    </row>
    <row r="13" spans="2:20" x14ac:dyDescent="0.55000000000000004">
      <c r="B13" t="s">
        <v>35</v>
      </c>
      <c r="C13" t="s">
        <v>18</v>
      </c>
      <c r="D13">
        <v>44</v>
      </c>
      <c r="E13" s="16" t="s">
        <v>6</v>
      </c>
      <c r="F13" s="17">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t="str">
        <f>_xlfn.XLOOKUP(calls[[#This Row],[Customer ID]],customers[Customer ID],customers[City])</f>
        <v>Cleveland</v>
      </c>
      <c r="N13">
        <f>_xlfn.XLOOKUP(calls[[#This Row],[Customer ID]],customers[Customer ID],customers[Age])</f>
        <v>30</v>
      </c>
      <c r="O13" t="str">
        <f>_xlfn.XLOOKUP(calls[[#This Row],[Customer ID]],customers[Customer ID],customers[Gender])</f>
        <v>Female</v>
      </c>
      <c r="P13" s="6" t="s">
        <v>18</v>
      </c>
      <c r="Q13" s="3" t="s">
        <v>999</v>
      </c>
      <c r="R13" s="2">
        <v>30</v>
      </c>
      <c r="S13" s="7" t="s">
        <v>1001</v>
      </c>
      <c r="T13" s="7" t="str">
        <f>IF(customers[[#This Row],[Age]]&lt;30,"20-29",IF(customers[[#This Row],[Age]]&lt;40,"30-39","40+"))</f>
        <v>30-39</v>
      </c>
    </row>
    <row r="14" spans="2:20" x14ac:dyDescent="0.55000000000000004">
      <c r="B14" t="s">
        <v>36</v>
      </c>
      <c r="C14" t="s">
        <v>8</v>
      </c>
      <c r="D14">
        <v>102</v>
      </c>
      <c r="E14" s="16" t="s">
        <v>9</v>
      </c>
      <c r="F14" s="17">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t="str">
        <f>_xlfn.XLOOKUP(calls[[#This Row],[Customer ID]],customers[Customer ID],customers[City])</f>
        <v>Cincinnati</v>
      </c>
      <c r="N14">
        <f>_xlfn.XLOOKUP(calls[[#This Row],[Customer ID]],customers[Customer ID],customers[Age])</f>
        <v>30</v>
      </c>
      <c r="O14" t="str">
        <f>_xlfn.XLOOKUP(calls[[#This Row],[Customer ID]],customers[Customer ID],customers[Gender])</f>
        <v>Female</v>
      </c>
      <c r="P14" s="6" t="s">
        <v>8</v>
      </c>
      <c r="Q14" s="3" t="s">
        <v>999</v>
      </c>
      <c r="R14" s="2">
        <v>30</v>
      </c>
      <c r="S14" s="7" t="s">
        <v>1002</v>
      </c>
      <c r="T14" s="7" t="str">
        <f>IF(customers[[#This Row],[Age]]&lt;30,"20-29",IF(customers[[#This Row],[Age]]&lt;40,"30-39","40+"))</f>
        <v>30-39</v>
      </c>
    </row>
    <row r="15" spans="2:20" x14ac:dyDescent="0.55000000000000004">
      <c r="B15" t="s">
        <v>37</v>
      </c>
      <c r="C15" t="s">
        <v>14</v>
      </c>
      <c r="D15">
        <v>135</v>
      </c>
      <c r="E15" s="16" t="s">
        <v>10</v>
      </c>
      <c r="F15" s="17">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t="str">
        <f>_xlfn.XLOOKUP(calls[[#This Row],[Customer ID]],customers[Customer ID],customers[City])</f>
        <v>Cleveland</v>
      </c>
      <c r="N15">
        <f>_xlfn.XLOOKUP(calls[[#This Row],[Customer ID]],customers[Customer ID],customers[Age])</f>
        <v>37</v>
      </c>
      <c r="O15" t="str">
        <f>_xlfn.XLOOKUP(calls[[#This Row],[Customer ID]],customers[Customer ID],customers[Gender])</f>
        <v>Female</v>
      </c>
      <c r="P15" s="6" t="s">
        <v>16</v>
      </c>
      <c r="Q15" s="3" t="s">
        <v>999</v>
      </c>
      <c r="R15" s="2">
        <v>28</v>
      </c>
      <c r="S15" s="7" t="s">
        <v>1002</v>
      </c>
      <c r="T15" s="7" t="str">
        <f>IF(customers[[#This Row],[Age]]&lt;30,"20-29",IF(customers[[#This Row],[Age]]&lt;40,"30-39","40+"))</f>
        <v>20-29</v>
      </c>
    </row>
    <row r="16" spans="2:20" x14ac:dyDescent="0.55000000000000004">
      <c r="B16" t="s">
        <v>38</v>
      </c>
      <c r="C16" t="s">
        <v>24</v>
      </c>
      <c r="D16">
        <v>98</v>
      </c>
      <c r="E16" s="16" t="s">
        <v>9</v>
      </c>
      <c r="F16" s="17">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t="str">
        <f>_xlfn.XLOOKUP(calls[[#This Row],[Customer ID]],customers[Customer ID],customers[City])</f>
        <v>Cleveland</v>
      </c>
      <c r="N16">
        <f>_xlfn.XLOOKUP(calls[[#This Row],[Customer ID]],customers[Customer ID],customers[Age])</f>
        <v>31</v>
      </c>
      <c r="O16" t="str">
        <f>_xlfn.XLOOKUP(calls[[#This Row],[Customer ID]],customers[Customer ID],customers[Gender])</f>
        <v>Male</v>
      </c>
      <c r="P16" s="6" t="s">
        <v>14</v>
      </c>
      <c r="Q16" s="3" t="s">
        <v>999</v>
      </c>
      <c r="R16" s="2">
        <v>37</v>
      </c>
      <c r="S16" s="7" t="s">
        <v>1001</v>
      </c>
      <c r="T16" s="7" t="str">
        <f>IF(customers[[#This Row],[Age]]&lt;30,"20-29",IF(customers[[#This Row],[Age]]&lt;40,"30-39","40+"))</f>
        <v>30-39</v>
      </c>
    </row>
    <row r="17" spans="2:20" x14ac:dyDescent="0.55000000000000004">
      <c r="B17" t="s">
        <v>39</v>
      </c>
      <c r="C17" t="s">
        <v>18</v>
      </c>
      <c r="D17">
        <v>139</v>
      </c>
      <c r="E17" s="16" t="s">
        <v>9</v>
      </c>
      <c r="F17" s="17">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t="str">
        <f>_xlfn.XLOOKUP(calls[[#This Row],[Customer ID]],customers[Customer ID],customers[City])</f>
        <v>Cleveland</v>
      </c>
      <c r="N17">
        <f>_xlfn.XLOOKUP(calls[[#This Row],[Customer ID]],customers[Customer ID],customers[Age])</f>
        <v>30</v>
      </c>
      <c r="O17" t="str">
        <f>_xlfn.XLOOKUP(calls[[#This Row],[Customer ID]],customers[Customer ID],customers[Gender])</f>
        <v>Female</v>
      </c>
      <c r="P17" s="6" t="s">
        <v>21</v>
      </c>
      <c r="Q17" s="3" t="s">
        <v>999</v>
      </c>
      <c r="R17" s="2">
        <v>38</v>
      </c>
      <c r="S17" s="7" t="s">
        <v>1000</v>
      </c>
      <c r="T17" s="7" t="str">
        <f>IF(customers[[#This Row],[Age]]&lt;30,"20-29",IF(customers[[#This Row],[Age]]&lt;40,"30-39","40+"))</f>
        <v>30-39</v>
      </c>
    </row>
    <row r="18" spans="2:20" x14ac:dyDescent="0.55000000000000004">
      <c r="B18" t="s">
        <v>40</v>
      </c>
      <c r="C18" t="s">
        <v>14</v>
      </c>
      <c r="D18">
        <v>48</v>
      </c>
      <c r="E18" s="16" t="s">
        <v>11</v>
      </c>
      <c r="F18" s="17">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t="str">
        <f>_xlfn.XLOOKUP(calls[[#This Row],[Customer ID]],customers[Customer ID],customers[City])</f>
        <v>Cleveland</v>
      </c>
      <c r="N18">
        <f>_xlfn.XLOOKUP(calls[[#This Row],[Customer ID]],customers[Customer ID],customers[Age])</f>
        <v>37</v>
      </c>
      <c r="O18" t="str">
        <f>_xlfn.XLOOKUP(calls[[#This Row],[Customer ID]],customers[Customer ID],customers[Gender])</f>
        <v>Female</v>
      </c>
      <c r="P18" s="11" t="s">
        <v>19</v>
      </c>
      <c r="Q18" s="18" t="s">
        <v>999</v>
      </c>
      <c r="R18" s="12">
        <v>43</v>
      </c>
      <c r="S18" s="13" t="s">
        <v>1001</v>
      </c>
      <c r="T18" s="13" t="str">
        <f>IF(customers[[#This Row],[Age]]&lt;30,"20-29",IF(customers[[#This Row],[Age]]&lt;40,"30-39","40+"))</f>
        <v>40+</v>
      </c>
    </row>
    <row r="19" spans="2:20" x14ac:dyDescent="0.55000000000000004">
      <c r="B19" t="s">
        <v>41</v>
      </c>
      <c r="C19" t="s">
        <v>18</v>
      </c>
      <c r="D19">
        <v>176</v>
      </c>
      <c r="E19" s="16" t="s">
        <v>10</v>
      </c>
      <c r="F19" s="17">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t="str">
        <f>_xlfn.XLOOKUP(calls[[#This Row],[Customer ID]],customers[Customer ID],customers[City])</f>
        <v>Cleveland</v>
      </c>
      <c r="N19">
        <f>_xlfn.XLOOKUP(calls[[#This Row],[Customer ID]],customers[Customer ID],customers[Age])</f>
        <v>30</v>
      </c>
      <c r="O19" t="str">
        <f>_xlfn.XLOOKUP(calls[[#This Row],[Customer ID]],customers[Customer ID],customers[Gender])</f>
        <v>Female</v>
      </c>
    </row>
    <row r="20" spans="2:20" x14ac:dyDescent="0.55000000000000004">
      <c r="B20" t="s">
        <v>42</v>
      </c>
      <c r="C20" t="s">
        <v>18</v>
      </c>
      <c r="D20">
        <v>99</v>
      </c>
      <c r="E20" s="16" t="s">
        <v>11</v>
      </c>
      <c r="F20" s="17">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t="str">
        <f>_xlfn.XLOOKUP(calls[[#This Row],[Customer ID]],customers[Customer ID],customers[City])</f>
        <v>Cleveland</v>
      </c>
      <c r="N20">
        <f>_xlfn.XLOOKUP(calls[[#This Row],[Customer ID]],customers[Customer ID],customers[Age])</f>
        <v>30</v>
      </c>
      <c r="O20" t="str">
        <f>_xlfn.XLOOKUP(calls[[#This Row],[Customer ID]],customers[Customer ID],customers[Gender])</f>
        <v>Female</v>
      </c>
    </row>
    <row r="21" spans="2:20" x14ac:dyDescent="0.55000000000000004">
      <c r="B21" t="s">
        <v>43</v>
      </c>
      <c r="C21" t="s">
        <v>22</v>
      </c>
      <c r="D21">
        <v>28</v>
      </c>
      <c r="E21" s="16" t="s">
        <v>6</v>
      </c>
      <c r="F21" s="17">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t="str">
        <f>_xlfn.XLOOKUP(calls[[#This Row],[Customer ID]],customers[Customer ID],customers[City])</f>
        <v>Columbus</v>
      </c>
      <c r="N21">
        <f>_xlfn.XLOOKUP(calls[[#This Row],[Customer ID]],customers[Customer ID],customers[Age])</f>
        <v>25</v>
      </c>
      <c r="O21" t="str">
        <f>_xlfn.XLOOKUP(calls[[#This Row],[Customer ID]],customers[Customer ID],customers[Gender])</f>
        <v>Female</v>
      </c>
    </row>
    <row r="22" spans="2:20" x14ac:dyDescent="0.55000000000000004">
      <c r="B22" t="s">
        <v>44</v>
      </c>
      <c r="C22" t="s">
        <v>15</v>
      </c>
      <c r="D22">
        <v>54</v>
      </c>
      <c r="E22" s="16" t="s">
        <v>9</v>
      </c>
      <c r="F22" s="17">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t="str">
        <f>_xlfn.XLOOKUP(calls[[#This Row],[Customer ID]],customers[Customer ID],customers[City])</f>
        <v>Cleveland</v>
      </c>
      <c r="N22">
        <f>_xlfn.XLOOKUP(calls[[#This Row],[Customer ID]],customers[Customer ID],customers[Age])</f>
        <v>22</v>
      </c>
      <c r="O22" t="str">
        <f>_xlfn.XLOOKUP(calls[[#This Row],[Customer ID]],customers[Customer ID],customers[Gender])</f>
        <v>Female</v>
      </c>
    </row>
    <row r="23" spans="2:20" x14ac:dyDescent="0.55000000000000004">
      <c r="B23" t="s">
        <v>45</v>
      </c>
      <c r="C23" t="s">
        <v>7</v>
      </c>
      <c r="D23">
        <v>48</v>
      </c>
      <c r="E23" s="16" t="s">
        <v>10</v>
      </c>
      <c r="F23" s="17">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t="str">
        <f>_xlfn.XLOOKUP(calls[[#This Row],[Customer ID]],customers[Customer ID],customers[City])</f>
        <v>Columbus</v>
      </c>
      <c r="N23">
        <f>_xlfn.XLOOKUP(calls[[#This Row],[Customer ID]],customers[Customer ID],customers[Age])</f>
        <v>23</v>
      </c>
      <c r="O23" t="str">
        <f>_xlfn.XLOOKUP(calls[[#This Row],[Customer ID]],customers[Customer ID],customers[Gender])</f>
        <v>Male</v>
      </c>
    </row>
    <row r="24" spans="2:20" x14ac:dyDescent="0.55000000000000004">
      <c r="B24" t="s">
        <v>46</v>
      </c>
      <c r="C24" t="s">
        <v>12</v>
      </c>
      <c r="D24">
        <v>128</v>
      </c>
      <c r="E24" s="16" t="s">
        <v>10</v>
      </c>
      <c r="F24" s="17">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t="str">
        <f>_xlfn.XLOOKUP(calls[[#This Row],[Customer ID]],customers[Customer ID],customers[City])</f>
        <v>Cincinnati</v>
      </c>
      <c r="N24">
        <f>_xlfn.XLOOKUP(calls[[#This Row],[Customer ID]],customers[Customer ID],customers[Age])</f>
        <v>36</v>
      </c>
      <c r="O24" t="str">
        <f>_xlfn.XLOOKUP(calls[[#This Row],[Customer ID]],customers[Customer ID],customers[Gender])</f>
        <v>Male</v>
      </c>
    </row>
    <row r="25" spans="2:20" x14ac:dyDescent="0.55000000000000004">
      <c r="B25" t="s">
        <v>47</v>
      </c>
      <c r="C25" t="s">
        <v>12</v>
      </c>
      <c r="D25">
        <v>38</v>
      </c>
      <c r="E25" s="16" t="s">
        <v>13</v>
      </c>
      <c r="F25" s="17">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t="str">
        <f>_xlfn.XLOOKUP(calls[[#This Row],[Customer ID]],customers[Customer ID],customers[City])</f>
        <v>Cincinnati</v>
      </c>
      <c r="N25">
        <f>_xlfn.XLOOKUP(calls[[#This Row],[Customer ID]],customers[Customer ID],customers[Age])</f>
        <v>36</v>
      </c>
      <c r="O25" t="str">
        <f>_xlfn.XLOOKUP(calls[[#This Row],[Customer ID]],customers[Customer ID],customers[Gender])</f>
        <v>Male</v>
      </c>
    </row>
    <row r="26" spans="2:20" x14ac:dyDescent="0.55000000000000004">
      <c r="B26" t="s">
        <v>48</v>
      </c>
      <c r="C26" t="s">
        <v>20</v>
      </c>
      <c r="D26">
        <v>67</v>
      </c>
      <c r="E26" s="16" t="s">
        <v>13</v>
      </c>
      <c r="F26" s="17">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t="str">
        <f>_xlfn.XLOOKUP(calls[[#This Row],[Customer ID]],customers[Customer ID],customers[City])</f>
        <v>Cincinnati</v>
      </c>
      <c r="N26">
        <f>_xlfn.XLOOKUP(calls[[#This Row],[Customer ID]],customers[Customer ID],customers[Age])</f>
        <v>26</v>
      </c>
      <c r="O26" t="str">
        <f>_xlfn.XLOOKUP(calls[[#This Row],[Customer ID]],customers[Customer ID],customers[Gender])</f>
        <v>Male</v>
      </c>
    </row>
    <row r="27" spans="2:20" x14ac:dyDescent="0.55000000000000004">
      <c r="B27" t="s">
        <v>49</v>
      </c>
      <c r="C27" t="s">
        <v>19</v>
      </c>
      <c r="D27">
        <v>58</v>
      </c>
      <c r="E27" s="16" t="s">
        <v>9</v>
      </c>
      <c r="F27" s="17">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t="str">
        <f>_xlfn.XLOOKUP(calls[[#This Row],[Customer ID]],customers[Customer ID],customers[City])</f>
        <v>Cleveland</v>
      </c>
      <c r="N27">
        <f>_xlfn.XLOOKUP(calls[[#This Row],[Customer ID]],customers[Customer ID],customers[Age])</f>
        <v>43</v>
      </c>
      <c r="O27" t="str">
        <f>_xlfn.XLOOKUP(calls[[#This Row],[Customer ID]],customers[Customer ID],customers[Gender])</f>
        <v>Female</v>
      </c>
    </row>
    <row r="28" spans="2:20" x14ac:dyDescent="0.55000000000000004">
      <c r="B28" t="s">
        <v>50</v>
      </c>
      <c r="C28" t="s">
        <v>18</v>
      </c>
      <c r="D28">
        <v>54</v>
      </c>
      <c r="E28" s="16" t="s">
        <v>11</v>
      </c>
      <c r="F28" s="17">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t="str">
        <f>_xlfn.XLOOKUP(calls[[#This Row],[Customer ID]],customers[Customer ID],customers[City])</f>
        <v>Cleveland</v>
      </c>
      <c r="N28">
        <f>_xlfn.XLOOKUP(calls[[#This Row],[Customer ID]],customers[Customer ID],customers[Age])</f>
        <v>30</v>
      </c>
      <c r="O28" t="str">
        <f>_xlfn.XLOOKUP(calls[[#This Row],[Customer ID]],customers[Customer ID],customers[Gender])</f>
        <v>Female</v>
      </c>
    </row>
    <row r="29" spans="2:20" x14ac:dyDescent="0.55000000000000004">
      <c r="B29" t="s">
        <v>51</v>
      </c>
      <c r="C29" t="s">
        <v>16</v>
      </c>
      <c r="D29">
        <v>28</v>
      </c>
      <c r="E29" s="16" t="s">
        <v>10</v>
      </c>
      <c r="F29" s="17">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t="str">
        <f>_xlfn.XLOOKUP(calls[[#This Row],[Customer ID]],customers[Customer ID],customers[City])</f>
        <v>Cincinnati</v>
      </c>
      <c r="N29">
        <f>_xlfn.XLOOKUP(calls[[#This Row],[Customer ID]],customers[Customer ID],customers[Age])</f>
        <v>28</v>
      </c>
      <c r="O29" t="str">
        <f>_xlfn.XLOOKUP(calls[[#This Row],[Customer ID]],customers[Customer ID],customers[Gender])</f>
        <v>Female</v>
      </c>
    </row>
    <row r="30" spans="2:20" x14ac:dyDescent="0.55000000000000004">
      <c r="B30" t="s">
        <v>52</v>
      </c>
      <c r="C30" t="s">
        <v>24</v>
      </c>
      <c r="D30">
        <v>73</v>
      </c>
      <c r="E30" s="16" t="s">
        <v>10</v>
      </c>
      <c r="F30" s="17">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t="str">
        <f>_xlfn.XLOOKUP(calls[[#This Row],[Customer ID]],customers[Customer ID],customers[City])</f>
        <v>Cleveland</v>
      </c>
      <c r="N30">
        <f>_xlfn.XLOOKUP(calls[[#This Row],[Customer ID]],customers[Customer ID],customers[Age])</f>
        <v>31</v>
      </c>
      <c r="O30" t="str">
        <f>_xlfn.XLOOKUP(calls[[#This Row],[Customer ID]],customers[Customer ID],customers[Gender])</f>
        <v>Male</v>
      </c>
    </row>
    <row r="31" spans="2:20" x14ac:dyDescent="0.55000000000000004">
      <c r="B31" t="s">
        <v>53</v>
      </c>
      <c r="C31" t="s">
        <v>8</v>
      </c>
      <c r="D31">
        <v>81</v>
      </c>
      <c r="E31" s="16" t="s">
        <v>10</v>
      </c>
      <c r="F31" s="17">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t="str">
        <f>_xlfn.XLOOKUP(calls[[#This Row],[Customer ID]],customers[Customer ID],customers[City])</f>
        <v>Cincinnati</v>
      </c>
      <c r="N31">
        <f>_xlfn.XLOOKUP(calls[[#This Row],[Customer ID]],customers[Customer ID],customers[Age])</f>
        <v>30</v>
      </c>
      <c r="O31" t="str">
        <f>_xlfn.XLOOKUP(calls[[#This Row],[Customer ID]],customers[Customer ID],customers[Gender])</f>
        <v>Female</v>
      </c>
    </row>
    <row r="32" spans="2:20" x14ac:dyDescent="0.55000000000000004">
      <c r="B32" t="s">
        <v>54</v>
      </c>
      <c r="C32" t="s">
        <v>22</v>
      </c>
      <c r="D32">
        <v>31</v>
      </c>
      <c r="E32" s="16" t="s">
        <v>13</v>
      </c>
      <c r="F32" s="17">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t="str">
        <f>_xlfn.XLOOKUP(calls[[#This Row],[Customer ID]],customers[Customer ID],customers[City])</f>
        <v>Columbus</v>
      </c>
      <c r="N32">
        <f>_xlfn.XLOOKUP(calls[[#This Row],[Customer ID]],customers[Customer ID],customers[Age])</f>
        <v>25</v>
      </c>
      <c r="O32" t="str">
        <f>_xlfn.XLOOKUP(calls[[#This Row],[Customer ID]],customers[Customer ID],customers[Gender])</f>
        <v>Female</v>
      </c>
    </row>
    <row r="33" spans="2:15" x14ac:dyDescent="0.55000000000000004">
      <c r="B33" t="s">
        <v>55</v>
      </c>
      <c r="C33" t="s">
        <v>19</v>
      </c>
      <c r="D33">
        <v>155</v>
      </c>
      <c r="E33" s="16" t="s">
        <v>11</v>
      </c>
      <c r="F33" s="17">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t="str">
        <f>_xlfn.XLOOKUP(calls[[#This Row],[Customer ID]],customers[Customer ID],customers[City])</f>
        <v>Cleveland</v>
      </c>
      <c r="N33">
        <f>_xlfn.XLOOKUP(calls[[#This Row],[Customer ID]],customers[Customer ID],customers[Age])</f>
        <v>43</v>
      </c>
      <c r="O33" t="str">
        <f>_xlfn.XLOOKUP(calls[[#This Row],[Customer ID]],customers[Customer ID],customers[Gender])</f>
        <v>Female</v>
      </c>
    </row>
    <row r="34" spans="2:15" x14ac:dyDescent="0.55000000000000004">
      <c r="B34" t="s">
        <v>56</v>
      </c>
      <c r="C34" t="s">
        <v>22</v>
      </c>
      <c r="D34">
        <v>80</v>
      </c>
      <c r="E34" s="16" t="s">
        <v>10</v>
      </c>
      <c r="F34" s="17">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t="str">
        <f>_xlfn.XLOOKUP(calls[[#This Row],[Customer ID]],customers[Customer ID],customers[City])</f>
        <v>Columbus</v>
      </c>
      <c r="N34">
        <f>_xlfn.XLOOKUP(calls[[#This Row],[Customer ID]],customers[Customer ID],customers[Age])</f>
        <v>25</v>
      </c>
      <c r="O34" t="str">
        <f>_xlfn.XLOOKUP(calls[[#This Row],[Customer ID]],customers[Customer ID],customers[Gender])</f>
        <v>Female</v>
      </c>
    </row>
    <row r="35" spans="2:15" x14ac:dyDescent="0.55000000000000004">
      <c r="B35" t="s">
        <v>57</v>
      </c>
      <c r="C35" t="s">
        <v>8</v>
      </c>
      <c r="D35">
        <v>82</v>
      </c>
      <c r="E35" s="16" t="s">
        <v>10</v>
      </c>
      <c r="F35" s="17">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t="str">
        <f>_xlfn.XLOOKUP(calls[[#This Row],[Customer ID]],customers[Customer ID],customers[City])</f>
        <v>Cincinnati</v>
      </c>
      <c r="N35">
        <f>_xlfn.XLOOKUP(calls[[#This Row],[Customer ID]],customers[Customer ID],customers[Age])</f>
        <v>30</v>
      </c>
      <c r="O35" t="str">
        <f>_xlfn.XLOOKUP(calls[[#This Row],[Customer ID]],customers[Customer ID],customers[Gender])</f>
        <v>Female</v>
      </c>
    </row>
    <row r="36" spans="2:15" x14ac:dyDescent="0.55000000000000004">
      <c r="B36" t="s">
        <v>58</v>
      </c>
      <c r="C36" t="s">
        <v>8</v>
      </c>
      <c r="D36">
        <v>29</v>
      </c>
      <c r="E36" s="16" t="s">
        <v>11</v>
      </c>
      <c r="F36" s="17">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t="str">
        <f>_xlfn.XLOOKUP(calls[[#This Row],[Customer ID]],customers[Customer ID],customers[City])</f>
        <v>Cincinnati</v>
      </c>
      <c r="N36">
        <f>_xlfn.XLOOKUP(calls[[#This Row],[Customer ID]],customers[Customer ID],customers[Age])</f>
        <v>30</v>
      </c>
      <c r="O36" t="str">
        <f>_xlfn.XLOOKUP(calls[[#This Row],[Customer ID]],customers[Customer ID],customers[Gender])</f>
        <v>Female</v>
      </c>
    </row>
    <row r="37" spans="2:15" x14ac:dyDescent="0.55000000000000004">
      <c r="B37" t="s">
        <v>59</v>
      </c>
      <c r="C37" t="s">
        <v>7</v>
      </c>
      <c r="D37">
        <v>160</v>
      </c>
      <c r="E37" s="16" t="s">
        <v>9</v>
      </c>
      <c r="F37" s="17">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t="str">
        <f>_xlfn.XLOOKUP(calls[[#This Row],[Customer ID]],customers[Customer ID],customers[City])</f>
        <v>Columbus</v>
      </c>
      <c r="N37">
        <f>_xlfn.XLOOKUP(calls[[#This Row],[Customer ID]],customers[Customer ID],customers[Age])</f>
        <v>23</v>
      </c>
      <c r="O37" t="str">
        <f>_xlfn.XLOOKUP(calls[[#This Row],[Customer ID]],customers[Customer ID],customers[Gender])</f>
        <v>Male</v>
      </c>
    </row>
    <row r="38" spans="2:15" x14ac:dyDescent="0.55000000000000004">
      <c r="B38" t="s">
        <v>60</v>
      </c>
      <c r="C38" t="s">
        <v>17</v>
      </c>
      <c r="D38">
        <v>105</v>
      </c>
      <c r="E38" s="16" t="s">
        <v>10</v>
      </c>
      <c r="F38" s="17">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t="str">
        <f>_xlfn.XLOOKUP(calls[[#This Row],[Customer ID]],customers[Customer ID],customers[City])</f>
        <v>Columbus</v>
      </c>
      <c r="N38">
        <f>_xlfn.XLOOKUP(calls[[#This Row],[Customer ID]],customers[Customer ID],customers[Age])</f>
        <v>41</v>
      </c>
      <c r="O38" t="str">
        <f>_xlfn.XLOOKUP(calls[[#This Row],[Customer ID]],customers[Customer ID],customers[Gender])</f>
        <v>Male</v>
      </c>
    </row>
    <row r="39" spans="2:15" x14ac:dyDescent="0.55000000000000004">
      <c r="B39" t="s">
        <v>61</v>
      </c>
      <c r="C39" t="s">
        <v>22</v>
      </c>
      <c r="D39">
        <v>75</v>
      </c>
      <c r="E39" s="16" t="s">
        <v>6</v>
      </c>
      <c r="F39" s="17">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t="str">
        <f>_xlfn.XLOOKUP(calls[[#This Row],[Customer ID]],customers[Customer ID],customers[City])</f>
        <v>Columbus</v>
      </c>
      <c r="N39">
        <f>_xlfn.XLOOKUP(calls[[#This Row],[Customer ID]],customers[Customer ID],customers[Age])</f>
        <v>25</v>
      </c>
      <c r="O39" t="str">
        <f>_xlfn.XLOOKUP(calls[[#This Row],[Customer ID]],customers[Customer ID],customers[Gender])</f>
        <v>Female</v>
      </c>
    </row>
    <row r="40" spans="2:15" x14ac:dyDescent="0.55000000000000004">
      <c r="B40" t="s">
        <v>62</v>
      </c>
      <c r="C40" t="s">
        <v>19</v>
      </c>
      <c r="D40">
        <v>94</v>
      </c>
      <c r="E40" s="16" t="s">
        <v>6</v>
      </c>
      <c r="F40" s="17">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t="str">
        <f>_xlfn.XLOOKUP(calls[[#This Row],[Customer ID]],customers[Customer ID],customers[City])</f>
        <v>Cleveland</v>
      </c>
      <c r="N40">
        <f>_xlfn.XLOOKUP(calls[[#This Row],[Customer ID]],customers[Customer ID],customers[Age])</f>
        <v>43</v>
      </c>
      <c r="O40" t="str">
        <f>_xlfn.XLOOKUP(calls[[#This Row],[Customer ID]],customers[Customer ID],customers[Gender])</f>
        <v>Female</v>
      </c>
    </row>
    <row r="41" spans="2:15" x14ac:dyDescent="0.55000000000000004">
      <c r="B41" t="s">
        <v>63</v>
      </c>
      <c r="C41" t="s">
        <v>12</v>
      </c>
      <c r="D41">
        <v>90</v>
      </c>
      <c r="E41" s="16" t="s">
        <v>9</v>
      </c>
      <c r="F41" s="17">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t="str">
        <f>_xlfn.XLOOKUP(calls[[#This Row],[Customer ID]],customers[Customer ID],customers[City])</f>
        <v>Cincinnati</v>
      </c>
      <c r="N41">
        <f>_xlfn.XLOOKUP(calls[[#This Row],[Customer ID]],customers[Customer ID],customers[Age])</f>
        <v>36</v>
      </c>
      <c r="O41" t="str">
        <f>_xlfn.XLOOKUP(calls[[#This Row],[Customer ID]],customers[Customer ID],customers[Gender])</f>
        <v>Male</v>
      </c>
    </row>
    <row r="42" spans="2:15" x14ac:dyDescent="0.55000000000000004">
      <c r="B42" t="s">
        <v>64</v>
      </c>
      <c r="C42" t="s">
        <v>19</v>
      </c>
      <c r="D42">
        <v>81</v>
      </c>
      <c r="E42" s="16" t="s">
        <v>13</v>
      </c>
      <c r="F42" s="17">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t="str">
        <f>_xlfn.XLOOKUP(calls[[#This Row],[Customer ID]],customers[Customer ID],customers[City])</f>
        <v>Cleveland</v>
      </c>
      <c r="N42">
        <f>_xlfn.XLOOKUP(calls[[#This Row],[Customer ID]],customers[Customer ID],customers[Age])</f>
        <v>43</v>
      </c>
      <c r="O42" t="str">
        <f>_xlfn.XLOOKUP(calls[[#This Row],[Customer ID]],customers[Customer ID],customers[Gender])</f>
        <v>Female</v>
      </c>
    </row>
    <row r="43" spans="2:15" x14ac:dyDescent="0.55000000000000004">
      <c r="B43" t="s">
        <v>65</v>
      </c>
      <c r="C43" t="s">
        <v>22</v>
      </c>
      <c r="D43">
        <v>106</v>
      </c>
      <c r="E43" s="16" t="s">
        <v>10</v>
      </c>
      <c r="F43" s="17">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t="str">
        <f>_xlfn.XLOOKUP(calls[[#This Row],[Customer ID]],customers[Customer ID],customers[City])</f>
        <v>Columbus</v>
      </c>
      <c r="N43">
        <f>_xlfn.XLOOKUP(calls[[#This Row],[Customer ID]],customers[Customer ID],customers[Age])</f>
        <v>25</v>
      </c>
      <c r="O43" t="str">
        <f>_xlfn.XLOOKUP(calls[[#This Row],[Customer ID]],customers[Customer ID],customers[Gender])</f>
        <v>Female</v>
      </c>
    </row>
    <row r="44" spans="2:15" x14ac:dyDescent="0.55000000000000004">
      <c r="B44" t="s">
        <v>66</v>
      </c>
      <c r="C44" t="s">
        <v>12</v>
      </c>
      <c r="D44">
        <v>74</v>
      </c>
      <c r="E44" s="16" t="s">
        <v>13</v>
      </c>
      <c r="F44" s="17">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t="str">
        <f>_xlfn.XLOOKUP(calls[[#This Row],[Customer ID]],customers[Customer ID],customers[City])</f>
        <v>Cincinnati</v>
      </c>
      <c r="N44">
        <f>_xlfn.XLOOKUP(calls[[#This Row],[Customer ID]],customers[Customer ID],customers[Age])</f>
        <v>36</v>
      </c>
      <c r="O44" t="str">
        <f>_xlfn.XLOOKUP(calls[[#This Row],[Customer ID]],customers[Customer ID],customers[Gender])</f>
        <v>Male</v>
      </c>
    </row>
    <row r="45" spans="2:15" x14ac:dyDescent="0.55000000000000004">
      <c r="B45" t="s">
        <v>67</v>
      </c>
      <c r="C45" t="s">
        <v>18</v>
      </c>
      <c r="D45">
        <v>105</v>
      </c>
      <c r="E45" s="16" t="s">
        <v>9</v>
      </c>
      <c r="F45" s="17">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t="str">
        <f>_xlfn.XLOOKUP(calls[[#This Row],[Customer ID]],customers[Customer ID],customers[City])</f>
        <v>Cleveland</v>
      </c>
      <c r="N45">
        <f>_xlfn.XLOOKUP(calls[[#This Row],[Customer ID]],customers[Customer ID],customers[Age])</f>
        <v>30</v>
      </c>
      <c r="O45" t="str">
        <f>_xlfn.XLOOKUP(calls[[#This Row],[Customer ID]],customers[Customer ID],customers[Gender])</f>
        <v>Female</v>
      </c>
    </row>
    <row r="46" spans="2:15" x14ac:dyDescent="0.55000000000000004">
      <c r="B46" t="s">
        <v>68</v>
      </c>
      <c r="C46" t="s">
        <v>22</v>
      </c>
      <c r="D46">
        <v>89</v>
      </c>
      <c r="E46" s="16" t="s">
        <v>10</v>
      </c>
      <c r="F46" s="17">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t="str">
        <f>_xlfn.XLOOKUP(calls[[#This Row],[Customer ID]],customers[Customer ID],customers[City])</f>
        <v>Columbus</v>
      </c>
      <c r="N46">
        <f>_xlfn.XLOOKUP(calls[[#This Row],[Customer ID]],customers[Customer ID],customers[Age])</f>
        <v>25</v>
      </c>
      <c r="O46" t="str">
        <f>_xlfn.XLOOKUP(calls[[#This Row],[Customer ID]],customers[Customer ID],customers[Gender])</f>
        <v>Female</v>
      </c>
    </row>
    <row r="47" spans="2:15" x14ac:dyDescent="0.55000000000000004">
      <c r="B47" t="s">
        <v>69</v>
      </c>
      <c r="C47" t="s">
        <v>14</v>
      </c>
      <c r="D47">
        <v>132</v>
      </c>
      <c r="E47" s="16" t="s">
        <v>6</v>
      </c>
      <c r="F47" s="17">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t="str">
        <f>_xlfn.XLOOKUP(calls[[#This Row],[Customer ID]],customers[Customer ID],customers[City])</f>
        <v>Cleveland</v>
      </c>
      <c r="N47">
        <f>_xlfn.XLOOKUP(calls[[#This Row],[Customer ID]],customers[Customer ID],customers[Age])</f>
        <v>37</v>
      </c>
      <c r="O47" t="str">
        <f>_xlfn.XLOOKUP(calls[[#This Row],[Customer ID]],customers[Customer ID],customers[Gender])</f>
        <v>Female</v>
      </c>
    </row>
    <row r="48" spans="2:15" x14ac:dyDescent="0.55000000000000004">
      <c r="B48" t="s">
        <v>70</v>
      </c>
      <c r="C48" t="s">
        <v>17</v>
      </c>
      <c r="D48">
        <v>105</v>
      </c>
      <c r="E48" s="16" t="s">
        <v>11</v>
      </c>
      <c r="F48" s="17">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t="str">
        <f>_xlfn.XLOOKUP(calls[[#This Row],[Customer ID]],customers[Customer ID],customers[City])</f>
        <v>Columbus</v>
      </c>
      <c r="N48">
        <f>_xlfn.XLOOKUP(calls[[#This Row],[Customer ID]],customers[Customer ID],customers[Age])</f>
        <v>41</v>
      </c>
      <c r="O48" t="str">
        <f>_xlfn.XLOOKUP(calls[[#This Row],[Customer ID]],customers[Customer ID],customers[Gender])</f>
        <v>Male</v>
      </c>
    </row>
    <row r="49" spans="2:15" x14ac:dyDescent="0.55000000000000004">
      <c r="B49" t="s">
        <v>71</v>
      </c>
      <c r="C49" t="s">
        <v>8</v>
      </c>
      <c r="D49">
        <v>13</v>
      </c>
      <c r="E49" s="16" t="s">
        <v>6</v>
      </c>
      <c r="F49" s="17">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t="str">
        <f>_xlfn.XLOOKUP(calls[[#This Row],[Customer ID]],customers[Customer ID],customers[City])</f>
        <v>Cincinnati</v>
      </c>
      <c r="N49">
        <f>_xlfn.XLOOKUP(calls[[#This Row],[Customer ID]],customers[Customer ID],customers[Age])</f>
        <v>30</v>
      </c>
      <c r="O49" t="str">
        <f>_xlfn.XLOOKUP(calls[[#This Row],[Customer ID]],customers[Customer ID],customers[Gender])</f>
        <v>Female</v>
      </c>
    </row>
    <row r="50" spans="2:15" x14ac:dyDescent="0.55000000000000004">
      <c r="B50" t="s">
        <v>72</v>
      </c>
      <c r="C50" t="s">
        <v>21</v>
      </c>
      <c r="D50">
        <v>131</v>
      </c>
      <c r="E50" s="16" t="s">
        <v>11</v>
      </c>
      <c r="F50" s="17">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t="str">
        <f>_xlfn.XLOOKUP(calls[[#This Row],[Customer ID]],customers[Customer ID],customers[City])</f>
        <v>Columbus</v>
      </c>
      <c r="N50">
        <f>_xlfn.XLOOKUP(calls[[#This Row],[Customer ID]],customers[Customer ID],customers[Age])</f>
        <v>38</v>
      </c>
      <c r="O50" t="str">
        <f>_xlfn.XLOOKUP(calls[[#This Row],[Customer ID]],customers[Customer ID],customers[Gender])</f>
        <v>Female</v>
      </c>
    </row>
    <row r="51" spans="2:15" x14ac:dyDescent="0.55000000000000004">
      <c r="B51" t="s">
        <v>73</v>
      </c>
      <c r="C51" t="s">
        <v>12</v>
      </c>
      <c r="D51">
        <v>104</v>
      </c>
      <c r="E51" s="16" t="s">
        <v>10</v>
      </c>
      <c r="F51" s="17">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t="str">
        <f>_xlfn.XLOOKUP(calls[[#This Row],[Customer ID]],customers[Customer ID],customers[City])</f>
        <v>Cincinnati</v>
      </c>
      <c r="N51">
        <f>_xlfn.XLOOKUP(calls[[#This Row],[Customer ID]],customers[Customer ID],customers[Age])</f>
        <v>36</v>
      </c>
      <c r="O51" t="str">
        <f>_xlfn.XLOOKUP(calls[[#This Row],[Customer ID]],customers[Customer ID],customers[Gender])</f>
        <v>Male</v>
      </c>
    </row>
    <row r="52" spans="2:15" x14ac:dyDescent="0.55000000000000004">
      <c r="B52" t="s">
        <v>74</v>
      </c>
      <c r="C52" t="s">
        <v>20</v>
      </c>
      <c r="D52">
        <v>90</v>
      </c>
      <c r="E52" s="16" t="s">
        <v>9</v>
      </c>
      <c r="F52" s="17">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t="str">
        <f>_xlfn.XLOOKUP(calls[[#This Row],[Customer ID]],customers[Customer ID],customers[City])</f>
        <v>Cincinnati</v>
      </c>
      <c r="N52">
        <f>_xlfn.XLOOKUP(calls[[#This Row],[Customer ID]],customers[Customer ID],customers[Age])</f>
        <v>26</v>
      </c>
      <c r="O52" t="str">
        <f>_xlfn.XLOOKUP(calls[[#This Row],[Customer ID]],customers[Customer ID],customers[Gender])</f>
        <v>Male</v>
      </c>
    </row>
    <row r="53" spans="2:15" x14ac:dyDescent="0.55000000000000004">
      <c r="B53" t="s">
        <v>75</v>
      </c>
      <c r="C53" t="s">
        <v>16</v>
      </c>
      <c r="D53">
        <v>37</v>
      </c>
      <c r="E53" s="16" t="s">
        <v>9</v>
      </c>
      <c r="F53" s="17">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t="str">
        <f>_xlfn.XLOOKUP(calls[[#This Row],[Customer ID]],customers[Customer ID],customers[City])</f>
        <v>Cincinnati</v>
      </c>
      <c r="N53">
        <f>_xlfn.XLOOKUP(calls[[#This Row],[Customer ID]],customers[Customer ID],customers[Age])</f>
        <v>28</v>
      </c>
      <c r="O53" t="str">
        <f>_xlfn.XLOOKUP(calls[[#This Row],[Customer ID]],customers[Customer ID],customers[Gender])</f>
        <v>Female</v>
      </c>
    </row>
    <row r="54" spans="2:15" x14ac:dyDescent="0.55000000000000004">
      <c r="B54" t="s">
        <v>76</v>
      </c>
      <c r="C54" t="s">
        <v>24</v>
      </c>
      <c r="D54">
        <v>149</v>
      </c>
      <c r="E54" s="16" t="s">
        <v>11</v>
      </c>
      <c r="F54" s="17">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t="str">
        <f>_xlfn.XLOOKUP(calls[[#This Row],[Customer ID]],customers[Customer ID],customers[City])</f>
        <v>Cleveland</v>
      </c>
      <c r="N54">
        <f>_xlfn.XLOOKUP(calls[[#This Row],[Customer ID]],customers[Customer ID],customers[Age])</f>
        <v>31</v>
      </c>
      <c r="O54" t="str">
        <f>_xlfn.XLOOKUP(calls[[#This Row],[Customer ID]],customers[Customer ID],customers[Gender])</f>
        <v>Male</v>
      </c>
    </row>
    <row r="55" spans="2:15" x14ac:dyDescent="0.55000000000000004">
      <c r="B55" t="s">
        <v>77</v>
      </c>
      <c r="C55" t="s">
        <v>14</v>
      </c>
      <c r="D55">
        <v>100</v>
      </c>
      <c r="E55" s="16" t="s">
        <v>13</v>
      </c>
      <c r="F55" s="17">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t="str">
        <f>_xlfn.XLOOKUP(calls[[#This Row],[Customer ID]],customers[Customer ID],customers[City])</f>
        <v>Cleveland</v>
      </c>
      <c r="N55">
        <f>_xlfn.XLOOKUP(calls[[#This Row],[Customer ID]],customers[Customer ID],customers[Age])</f>
        <v>37</v>
      </c>
      <c r="O55" t="str">
        <f>_xlfn.XLOOKUP(calls[[#This Row],[Customer ID]],customers[Customer ID],customers[Gender])</f>
        <v>Female</v>
      </c>
    </row>
    <row r="56" spans="2:15" x14ac:dyDescent="0.55000000000000004">
      <c r="B56" t="s">
        <v>78</v>
      </c>
      <c r="C56" t="s">
        <v>14</v>
      </c>
      <c r="D56">
        <v>79</v>
      </c>
      <c r="E56" s="16" t="s">
        <v>6</v>
      </c>
      <c r="F56" s="17">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t="str">
        <f>_xlfn.XLOOKUP(calls[[#This Row],[Customer ID]],customers[Customer ID],customers[City])</f>
        <v>Cleveland</v>
      </c>
      <c r="N56">
        <f>_xlfn.XLOOKUP(calls[[#This Row],[Customer ID]],customers[Customer ID],customers[Age])</f>
        <v>37</v>
      </c>
      <c r="O56" t="str">
        <f>_xlfn.XLOOKUP(calls[[#This Row],[Customer ID]],customers[Customer ID],customers[Gender])</f>
        <v>Female</v>
      </c>
    </row>
    <row r="57" spans="2:15" x14ac:dyDescent="0.55000000000000004">
      <c r="B57" t="s">
        <v>79</v>
      </c>
      <c r="C57" t="s">
        <v>5</v>
      </c>
      <c r="D57">
        <v>157</v>
      </c>
      <c r="E57" s="16" t="s">
        <v>11</v>
      </c>
      <c r="F57" s="17">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t="str">
        <f>_xlfn.XLOOKUP(calls[[#This Row],[Customer ID]],customers[Customer ID],customers[City])</f>
        <v>Cleveland</v>
      </c>
      <c r="N57">
        <f>_xlfn.XLOOKUP(calls[[#This Row],[Customer ID]],customers[Customer ID],customers[Age])</f>
        <v>42</v>
      </c>
      <c r="O57" t="str">
        <f>_xlfn.XLOOKUP(calls[[#This Row],[Customer ID]],customers[Customer ID],customers[Gender])</f>
        <v>Female</v>
      </c>
    </row>
    <row r="58" spans="2:15" x14ac:dyDescent="0.55000000000000004">
      <c r="B58" t="s">
        <v>80</v>
      </c>
      <c r="C58" t="s">
        <v>14</v>
      </c>
      <c r="D58">
        <v>59</v>
      </c>
      <c r="E58" s="16" t="s">
        <v>10</v>
      </c>
      <c r="F58" s="17">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t="str">
        <f>_xlfn.XLOOKUP(calls[[#This Row],[Customer ID]],customers[Customer ID],customers[City])</f>
        <v>Cleveland</v>
      </c>
      <c r="N58">
        <f>_xlfn.XLOOKUP(calls[[#This Row],[Customer ID]],customers[Customer ID],customers[Age])</f>
        <v>37</v>
      </c>
      <c r="O58" t="str">
        <f>_xlfn.XLOOKUP(calls[[#This Row],[Customer ID]],customers[Customer ID],customers[Gender])</f>
        <v>Female</v>
      </c>
    </row>
    <row r="59" spans="2:15" x14ac:dyDescent="0.55000000000000004">
      <c r="B59" t="s">
        <v>81</v>
      </c>
      <c r="C59" t="s">
        <v>16</v>
      </c>
      <c r="D59">
        <v>83</v>
      </c>
      <c r="E59" s="16" t="s">
        <v>11</v>
      </c>
      <c r="F59" s="17">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t="str">
        <f>_xlfn.XLOOKUP(calls[[#This Row],[Customer ID]],customers[Customer ID],customers[City])</f>
        <v>Cincinnati</v>
      </c>
      <c r="N59">
        <f>_xlfn.XLOOKUP(calls[[#This Row],[Customer ID]],customers[Customer ID],customers[Age])</f>
        <v>28</v>
      </c>
      <c r="O59" t="str">
        <f>_xlfn.XLOOKUP(calls[[#This Row],[Customer ID]],customers[Customer ID],customers[Gender])</f>
        <v>Female</v>
      </c>
    </row>
    <row r="60" spans="2:15" x14ac:dyDescent="0.55000000000000004">
      <c r="B60" t="s">
        <v>82</v>
      </c>
      <c r="C60" t="s">
        <v>5</v>
      </c>
      <c r="D60">
        <v>58</v>
      </c>
      <c r="E60" s="16" t="s">
        <v>9</v>
      </c>
      <c r="F60" s="17">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t="str">
        <f>_xlfn.XLOOKUP(calls[[#This Row],[Customer ID]],customers[Customer ID],customers[City])</f>
        <v>Cleveland</v>
      </c>
      <c r="N60">
        <f>_xlfn.XLOOKUP(calls[[#This Row],[Customer ID]],customers[Customer ID],customers[Age])</f>
        <v>42</v>
      </c>
      <c r="O60" t="str">
        <f>_xlfn.XLOOKUP(calls[[#This Row],[Customer ID]],customers[Customer ID],customers[Gender])</f>
        <v>Female</v>
      </c>
    </row>
    <row r="61" spans="2:15" x14ac:dyDescent="0.55000000000000004">
      <c r="B61" t="s">
        <v>83</v>
      </c>
      <c r="C61" t="s">
        <v>19</v>
      </c>
      <c r="D61">
        <v>118</v>
      </c>
      <c r="E61" s="16" t="s">
        <v>9</v>
      </c>
      <c r="F61" s="17">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t="str">
        <f>_xlfn.XLOOKUP(calls[[#This Row],[Customer ID]],customers[Customer ID],customers[City])</f>
        <v>Cleveland</v>
      </c>
      <c r="N61">
        <f>_xlfn.XLOOKUP(calls[[#This Row],[Customer ID]],customers[Customer ID],customers[Age])</f>
        <v>43</v>
      </c>
      <c r="O61" t="str">
        <f>_xlfn.XLOOKUP(calls[[#This Row],[Customer ID]],customers[Customer ID],customers[Gender])</f>
        <v>Female</v>
      </c>
    </row>
    <row r="62" spans="2:15" x14ac:dyDescent="0.55000000000000004">
      <c r="B62" t="s">
        <v>84</v>
      </c>
      <c r="C62" t="s">
        <v>8</v>
      </c>
      <c r="D62">
        <v>63</v>
      </c>
      <c r="E62" s="16" t="s">
        <v>10</v>
      </c>
      <c r="F62" s="17">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t="str">
        <f>_xlfn.XLOOKUP(calls[[#This Row],[Customer ID]],customers[Customer ID],customers[City])</f>
        <v>Cincinnati</v>
      </c>
      <c r="N62">
        <f>_xlfn.XLOOKUP(calls[[#This Row],[Customer ID]],customers[Customer ID],customers[Age])</f>
        <v>30</v>
      </c>
      <c r="O62" t="str">
        <f>_xlfn.XLOOKUP(calls[[#This Row],[Customer ID]],customers[Customer ID],customers[Gender])</f>
        <v>Female</v>
      </c>
    </row>
    <row r="63" spans="2:15" x14ac:dyDescent="0.55000000000000004">
      <c r="B63" t="s">
        <v>85</v>
      </c>
      <c r="C63" t="s">
        <v>5</v>
      </c>
      <c r="D63">
        <v>95</v>
      </c>
      <c r="E63" s="16" t="s">
        <v>9</v>
      </c>
      <c r="F63" s="17">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t="str">
        <f>_xlfn.XLOOKUP(calls[[#This Row],[Customer ID]],customers[Customer ID],customers[City])</f>
        <v>Cleveland</v>
      </c>
      <c r="N63">
        <f>_xlfn.XLOOKUP(calls[[#This Row],[Customer ID]],customers[Customer ID],customers[Age])</f>
        <v>42</v>
      </c>
      <c r="O63" t="str">
        <f>_xlfn.XLOOKUP(calls[[#This Row],[Customer ID]],customers[Customer ID],customers[Gender])</f>
        <v>Female</v>
      </c>
    </row>
    <row r="64" spans="2:15" x14ac:dyDescent="0.55000000000000004">
      <c r="B64" t="s">
        <v>86</v>
      </c>
      <c r="C64" t="s">
        <v>14</v>
      </c>
      <c r="D64">
        <v>74</v>
      </c>
      <c r="E64" s="16" t="s">
        <v>11</v>
      </c>
      <c r="F64" s="17">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t="str">
        <f>_xlfn.XLOOKUP(calls[[#This Row],[Customer ID]],customers[Customer ID],customers[City])</f>
        <v>Cleveland</v>
      </c>
      <c r="N64">
        <f>_xlfn.XLOOKUP(calls[[#This Row],[Customer ID]],customers[Customer ID],customers[Age])</f>
        <v>37</v>
      </c>
      <c r="O64" t="str">
        <f>_xlfn.XLOOKUP(calls[[#This Row],[Customer ID]],customers[Customer ID],customers[Gender])</f>
        <v>Female</v>
      </c>
    </row>
    <row r="65" spans="2:15" x14ac:dyDescent="0.55000000000000004">
      <c r="B65" t="s">
        <v>87</v>
      </c>
      <c r="C65" t="s">
        <v>18</v>
      </c>
      <c r="D65">
        <v>130</v>
      </c>
      <c r="E65" s="16" t="s">
        <v>13</v>
      </c>
      <c r="F65" s="17">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t="str">
        <f>_xlfn.XLOOKUP(calls[[#This Row],[Customer ID]],customers[Customer ID],customers[City])</f>
        <v>Cleveland</v>
      </c>
      <c r="N65">
        <f>_xlfn.XLOOKUP(calls[[#This Row],[Customer ID]],customers[Customer ID],customers[Age])</f>
        <v>30</v>
      </c>
      <c r="O65" t="str">
        <f>_xlfn.XLOOKUP(calls[[#This Row],[Customer ID]],customers[Customer ID],customers[Gender])</f>
        <v>Female</v>
      </c>
    </row>
    <row r="66" spans="2:15" x14ac:dyDescent="0.55000000000000004">
      <c r="B66" t="s">
        <v>88</v>
      </c>
      <c r="C66" t="s">
        <v>19</v>
      </c>
      <c r="D66">
        <v>110</v>
      </c>
      <c r="E66" s="16" t="s">
        <v>6</v>
      </c>
      <c r="F66" s="17">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t="str">
        <f>_xlfn.XLOOKUP(calls[[#This Row],[Customer ID]],customers[Customer ID],customers[City])</f>
        <v>Cleveland</v>
      </c>
      <c r="N66">
        <f>_xlfn.XLOOKUP(calls[[#This Row],[Customer ID]],customers[Customer ID],customers[Age])</f>
        <v>43</v>
      </c>
      <c r="O66" t="str">
        <f>_xlfn.XLOOKUP(calls[[#This Row],[Customer ID]],customers[Customer ID],customers[Gender])</f>
        <v>Female</v>
      </c>
    </row>
    <row r="67" spans="2:15" x14ac:dyDescent="0.55000000000000004">
      <c r="B67" t="s">
        <v>89</v>
      </c>
      <c r="C67" t="s">
        <v>14</v>
      </c>
      <c r="D67">
        <v>71</v>
      </c>
      <c r="E67" s="16" t="s">
        <v>10</v>
      </c>
      <c r="F67" s="17">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t="str">
        <f>_xlfn.XLOOKUP(calls[[#This Row],[Customer ID]],customers[Customer ID],customers[City])</f>
        <v>Cleveland</v>
      </c>
      <c r="N67">
        <f>_xlfn.XLOOKUP(calls[[#This Row],[Customer ID]],customers[Customer ID],customers[Age])</f>
        <v>37</v>
      </c>
      <c r="O67" t="str">
        <f>_xlfn.XLOOKUP(calls[[#This Row],[Customer ID]],customers[Customer ID],customers[Gender])</f>
        <v>Female</v>
      </c>
    </row>
    <row r="68" spans="2:15" x14ac:dyDescent="0.55000000000000004">
      <c r="B68" t="s">
        <v>90</v>
      </c>
      <c r="C68" t="s">
        <v>17</v>
      </c>
      <c r="D68">
        <v>147</v>
      </c>
      <c r="E68" s="16" t="s">
        <v>13</v>
      </c>
      <c r="F68" s="17">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t="str">
        <f>_xlfn.XLOOKUP(calls[[#This Row],[Customer ID]],customers[Customer ID],customers[City])</f>
        <v>Columbus</v>
      </c>
      <c r="N68">
        <f>_xlfn.XLOOKUP(calls[[#This Row],[Customer ID]],customers[Customer ID],customers[Age])</f>
        <v>41</v>
      </c>
      <c r="O68" t="str">
        <f>_xlfn.XLOOKUP(calls[[#This Row],[Customer ID]],customers[Customer ID],customers[Gender])</f>
        <v>Male</v>
      </c>
    </row>
    <row r="69" spans="2:15" x14ac:dyDescent="0.55000000000000004">
      <c r="B69" t="s">
        <v>91</v>
      </c>
      <c r="C69" t="s">
        <v>12</v>
      </c>
      <c r="D69">
        <v>69</v>
      </c>
      <c r="E69" s="16" t="s">
        <v>9</v>
      </c>
      <c r="F69" s="17">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t="str">
        <f>_xlfn.XLOOKUP(calls[[#This Row],[Customer ID]],customers[Customer ID],customers[City])</f>
        <v>Cincinnati</v>
      </c>
      <c r="N69">
        <f>_xlfn.XLOOKUP(calls[[#This Row],[Customer ID]],customers[Customer ID],customers[Age])</f>
        <v>36</v>
      </c>
      <c r="O69" t="str">
        <f>_xlfn.XLOOKUP(calls[[#This Row],[Customer ID]],customers[Customer ID],customers[Gender])</f>
        <v>Male</v>
      </c>
    </row>
    <row r="70" spans="2:15" x14ac:dyDescent="0.55000000000000004">
      <c r="B70" t="s">
        <v>92</v>
      </c>
      <c r="C70" t="s">
        <v>19</v>
      </c>
      <c r="D70">
        <v>50</v>
      </c>
      <c r="E70" s="16" t="s">
        <v>10</v>
      </c>
      <c r="F70" s="17">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t="str">
        <f>_xlfn.XLOOKUP(calls[[#This Row],[Customer ID]],customers[Customer ID],customers[City])</f>
        <v>Cleveland</v>
      </c>
      <c r="N70">
        <f>_xlfn.XLOOKUP(calls[[#This Row],[Customer ID]],customers[Customer ID],customers[Age])</f>
        <v>43</v>
      </c>
      <c r="O70" t="str">
        <f>_xlfn.XLOOKUP(calls[[#This Row],[Customer ID]],customers[Customer ID],customers[Gender])</f>
        <v>Female</v>
      </c>
    </row>
    <row r="71" spans="2:15" x14ac:dyDescent="0.55000000000000004">
      <c r="B71" t="s">
        <v>93</v>
      </c>
      <c r="C71" t="s">
        <v>18</v>
      </c>
      <c r="D71">
        <v>124</v>
      </c>
      <c r="E71" s="16" t="s">
        <v>13</v>
      </c>
      <c r="F71" s="17">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t="str">
        <f>_xlfn.XLOOKUP(calls[[#This Row],[Customer ID]],customers[Customer ID],customers[City])</f>
        <v>Cleveland</v>
      </c>
      <c r="N71">
        <f>_xlfn.XLOOKUP(calls[[#This Row],[Customer ID]],customers[Customer ID],customers[Age])</f>
        <v>30</v>
      </c>
      <c r="O71" t="str">
        <f>_xlfn.XLOOKUP(calls[[#This Row],[Customer ID]],customers[Customer ID],customers[Gender])</f>
        <v>Female</v>
      </c>
    </row>
    <row r="72" spans="2:15" x14ac:dyDescent="0.55000000000000004">
      <c r="B72" t="s">
        <v>94</v>
      </c>
      <c r="C72" t="s">
        <v>23</v>
      </c>
      <c r="D72">
        <v>81</v>
      </c>
      <c r="E72" s="16" t="s">
        <v>11</v>
      </c>
      <c r="F72" s="17">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t="str">
        <f>_xlfn.XLOOKUP(calls[[#This Row],[Customer ID]],customers[Customer ID],customers[City])</f>
        <v>Columbus</v>
      </c>
      <c r="N72">
        <f>_xlfn.XLOOKUP(calls[[#This Row],[Customer ID]],customers[Customer ID],customers[Age])</f>
        <v>37</v>
      </c>
      <c r="O72" t="str">
        <f>_xlfn.XLOOKUP(calls[[#This Row],[Customer ID]],customers[Customer ID],customers[Gender])</f>
        <v>Male</v>
      </c>
    </row>
    <row r="73" spans="2:15" x14ac:dyDescent="0.55000000000000004">
      <c r="B73" t="s">
        <v>95</v>
      </c>
      <c r="C73" t="s">
        <v>7</v>
      </c>
      <c r="D73">
        <v>141</v>
      </c>
      <c r="E73" s="16" t="s">
        <v>6</v>
      </c>
      <c r="F73" s="17">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t="str">
        <f>_xlfn.XLOOKUP(calls[[#This Row],[Customer ID]],customers[Customer ID],customers[City])</f>
        <v>Columbus</v>
      </c>
      <c r="N73">
        <f>_xlfn.XLOOKUP(calls[[#This Row],[Customer ID]],customers[Customer ID],customers[Age])</f>
        <v>23</v>
      </c>
      <c r="O73" t="str">
        <f>_xlfn.XLOOKUP(calls[[#This Row],[Customer ID]],customers[Customer ID],customers[Gender])</f>
        <v>Male</v>
      </c>
    </row>
    <row r="74" spans="2:15" x14ac:dyDescent="0.55000000000000004">
      <c r="B74" t="s">
        <v>96</v>
      </c>
      <c r="C74" t="s">
        <v>7</v>
      </c>
      <c r="D74">
        <v>168</v>
      </c>
      <c r="E74" s="16" t="s">
        <v>6</v>
      </c>
      <c r="F74" s="17">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t="str">
        <f>_xlfn.XLOOKUP(calls[[#This Row],[Customer ID]],customers[Customer ID],customers[City])</f>
        <v>Columbus</v>
      </c>
      <c r="N74">
        <f>_xlfn.XLOOKUP(calls[[#This Row],[Customer ID]],customers[Customer ID],customers[Age])</f>
        <v>23</v>
      </c>
      <c r="O74" t="str">
        <f>_xlfn.XLOOKUP(calls[[#This Row],[Customer ID]],customers[Customer ID],customers[Gender])</f>
        <v>Male</v>
      </c>
    </row>
    <row r="75" spans="2:15" x14ac:dyDescent="0.55000000000000004">
      <c r="B75" t="s">
        <v>97</v>
      </c>
      <c r="C75" t="s">
        <v>17</v>
      </c>
      <c r="D75">
        <v>101</v>
      </c>
      <c r="E75" s="16" t="s">
        <v>11</v>
      </c>
      <c r="F75" s="17">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t="str">
        <f>_xlfn.XLOOKUP(calls[[#This Row],[Customer ID]],customers[Customer ID],customers[City])</f>
        <v>Columbus</v>
      </c>
      <c r="N75">
        <f>_xlfn.XLOOKUP(calls[[#This Row],[Customer ID]],customers[Customer ID],customers[Age])</f>
        <v>41</v>
      </c>
      <c r="O75" t="str">
        <f>_xlfn.XLOOKUP(calls[[#This Row],[Customer ID]],customers[Customer ID],customers[Gender])</f>
        <v>Male</v>
      </c>
    </row>
    <row r="76" spans="2:15" x14ac:dyDescent="0.55000000000000004">
      <c r="B76" t="s">
        <v>98</v>
      </c>
      <c r="C76" t="s">
        <v>14</v>
      </c>
      <c r="D76">
        <v>67</v>
      </c>
      <c r="E76" s="16" t="s">
        <v>11</v>
      </c>
      <c r="F76" s="17">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t="str">
        <f>_xlfn.XLOOKUP(calls[[#This Row],[Customer ID]],customers[Customer ID],customers[City])</f>
        <v>Cleveland</v>
      </c>
      <c r="N76">
        <f>_xlfn.XLOOKUP(calls[[#This Row],[Customer ID]],customers[Customer ID],customers[Age])</f>
        <v>37</v>
      </c>
      <c r="O76" t="str">
        <f>_xlfn.XLOOKUP(calls[[#This Row],[Customer ID]],customers[Customer ID],customers[Gender])</f>
        <v>Female</v>
      </c>
    </row>
    <row r="77" spans="2:15" x14ac:dyDescent="0.55000000000000004">
      <c r="B77" t="s">
        <v>99</v>
      </c>
      <c r="C77" t="s">
        <v>5</v>
      </c>
      <c r="D77">
        <v>114</v>
      </c>
      <c r="E77" s="16" t="s">
        <v>6</v>
      </c>
      <c r="F77" s="17">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t="str">
        <f>_xlfn.XLOOKUP(calls[[#This Row],[Customer ID]],customers[Customer ID],customers[City])</f>
        <v>Cleveland</v>
      </c>
      <c r="N77">
        <f>_xlfn.XLOOKUP(calls[[#This Row],[Customer ID]],customers[Customer ID],customers[Age])</f>
        <v>42</v>
      </c>
      <c r="O77" t="str">
        <f>_xlfn.XLOOKUP(calls[[#This Row],[Customer ID]],customers[Customer ID],customers[Gender])</f>
        <v>Female</v>
      </c>
    </row>
    <row r="78" spans="2:15" x14ac:dyDescent="0.55000000000000004">
      <c r="B78" t="s">
        <v>100</v>
      </c>
      <c r="C78" t="s">
        <v>23</v>
      </c>
      <c r="D78">
        <v>42</v>
      </c>
      <c r="E78" s="16" t="s">
        <v>11</v>
      </c>
      <c r="F78" s="17">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t="str">
        <f>_xlfn.XLOOKUP(calls[[#This Row],[Customer ID]],customers[Customer ID],customers[City])</f>
        <v>Columbus</v>
      </c>
      <c r="N78">
        <f>_xlfn.XLOOKUP(calls[[#This Row],[Customer ID]],customers[Customer ID],customers[Age])</f>
        <v>37</v>
      </c>
      <c r="O78" t="str">
        <f>_xlfn.XLOOKUP(calls[[#This Row],[Customer ID]],customers[Customer ID],customers[Gender])</f>
        <v>Male</v>
      </c>
    </row>
    <row r="79" spans="2:15" x14ac:dyDescent="0.55000000000000004">
      <c r="B79" t="s">
        <v>101</v>
      </c>
      <c r="C79" t="s">
        <v>8</v>
      </c>
      <c r="D79">
        <v>69</v>
      </c>
      <c r="E79" s="16" t="s">
        <v>6</v>
      </c>
      <c r="F79" s="17">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t="str">
        <f>_xlfn.XLOOKUP(calls[[#This Row],[Customer ID]],customers[Customer ID],customers[City])</f>
        <v>Cincinnati</v>
      </c>
      <c r="N79">
        <f>_xlfn.XLOOKUP(calls[[#This Row],[Customer ID]],customers[Customer ID],customers[Age])</f>
        <v>30</v>
      </c>
      <c r="O79" t="str">
        <f>_xlfn.XLOOKUP(calls[[#This Row],[Customer ID]],customers[Customer ID],customers[Gender])</f>
        <v>Female</v>
      </c>
    </row>
    <row r="80" spans="2:15" x14ac:dyDescent="0.55000000000000004">
      <c r="B80" t="s">
        <v>102</v>
      </c>
      <c r="C80" t="s">
        <v>18</v>
      </c>
      <c r="D80">
        <v>145</v>
      </c>
      <c r="E80" s="16" t="s">
        <v>9</v>
      </c>
      <c r="F80" s="17">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t="str">
        <f>_xlfn.XLOOKUP(calls[[#This Row],[Customer ID]],customers[Customer ID],customers[City])</f>
        <v>Cleveland</v>
      </c>
      <c r="N80">
        <f>_xlfn.XLOOKUP(calls[[#This Row],[Customer ID]],customers[Customer ID],customers[Age])</f>
        <v>30</v>
      </c>
      <c r="O80" t="str">
        <f>_xlfn.XLOOKUP(calls[[#This Row],[Customer ID]],customers[Customer ID],customers[Gender])</f>
        <v>Female</v>
      </c>
    </row>
    <row r="81" spans="2:15" x14ac:dyDescent="0.55000000000000004">
      <c r="B81" t="s">
        <v>103</v>
      </c>
      <c r="C81" t="s">
        <v>12</v>
      </c>
      <c r="D81">
        <v>43</v>
      </c>
      <c r="E81" s="16" t="s">
        <v>6</v>
      </c>
      <c r="F81" s="17">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t="str">
        <f>_xlfn.XLOOKUP(calls[[#This Row],[Customer ID]],customers[Customer ID],customers[City])</f>
        <v>Cincinnati</v>
      </c>
      <c r="N81">
        <f>_xlfn.XLOOKUP(calls[[#This Row],[Customer ID]],customers[Customer ID],customers[Age])</f>
        <v>36</v>
      </c>
      <c r="O81" t="str">
        <f>_xlfn.XLOOKUP(calls[[#This Row],[Customer ID]],customers[Customer ID],customers[Gender])</f>
        <v>Male</v>
      </c>
    </row>
    <row r="82" spans="2:15" x14ac:dyDescent="0.55000000000000004">
      <c r="B82" t="s">
        <v>104</v>
      </c>
      <c r="C82" t="s">
        <v>8</v>
      </c>
      <c r="D82">
        <v>62</v>
      </c>
      <c r="E82" s="16" t="s">
        <v>10</v>
      </c>
      <c r="F82" s="17">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t="str">
        <f>_xlfn.XLOOKUP(calls[[#This Row],[Customer ID]],customers[Customer ID],customers[City])</f>
        <v>Cincinnati</v>
      </c>
      <c r="N82">
        <f>_xlfn.XLOOKUP(calls[[#This Row],[Customer ID]],customers[Customer ID],customers[Age])</f>
        <v>30</v>
      </c>
      <c r="O82" t="str">
        <f>_xlfn.XLOOKUP(calls[[#This Row],[Customer ID]],customers[Customer ID],customers[Gender])</f>
        <v>Female</v>
      </c>
    </row>
    <row r="83" spans="2:15" x14ac:dyDescent="0.55000000000000004">
      <c r="B83" t="s">
        <v>105</v>
      </c>
      <c r="C83" t="s">
        <v>22</v>
      </c>
      <c r="D83">
        <v>79</v>
      </c>
      <c r="E83" s="16" t="s">
        <v>6</v>
      </c>
      <c r="F83" s="17">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t="str">
        <f>_xlfn.XLOOKUP(calls[[#This Row],[Customer ID]],customers[Customer ID],customers[City])</f>
        <v>Columbus</v>
      </c>
      <c r="N83">
        <f>_xlfn.XLOOKUP(calls[[#This Row],[Customer ID]],customers[Customer ID],customers[Age])</f>
        <v>25</v>
      </c>
      <c r="O83" t="str">
        <f>_xlfn.XLOOKUP(calls[[#This Row],[Customer ID]],customers[Customer ID],customers[Gender])</f>
        <v>Female</v>
      </c>
    </row>
    <row r="84" spans="2:15" x14ac:dyDescent="0.55000000000000004">
      <c r="B84" t="s">
        <v>106</v>
      </c>
      <c r="C84" t="s">
        <v>18</v>
      </c>
      <c r="D84">
        <v>45</v>
      </c>
      <c r="E84" s="16" t="s">
        <v>13</v>
      </c>
      <c r="F84" s="17">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t="str">
        <f>_xlfn.XLOOKUP(calls[[#This Row],[Customer ID]],customers[Customer ID],customers[City])</f>
        <v>Cleveland</v>
      </c>
      <c r="N84">
        <f>_xlfn.XLOOKUP(calls[[#This Row],[Customer ID]],customers[Customer ID],customers[Age])</f>
        <v>30</v>
      </c>
      <c r="O84" t="str">
        <f>_xlfn.XLOOKUP(calls[[#This Row],[Customer ID]],customers[Customer ID],customers[Gender])</f>
        <v>Female</v>
      </c>
    </row>
    <row r="85" spans="2:15" x14ac:dyDescent="0.55000000000000004">
      <c r="B85" t="s">
        <v>107</v>
      </c>
      <c r="C85" t="s">
        <v>8</v>
      </c>
      <c r="D85">
        <v>137</v>
      </c>
      <c r="E85" s="16" t="s">
        <v>6</v>
      </c>
      <c r="F85" s="17">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t="str">
        <f>_xlfn.XLOOKUP(calls[[#This Row],[Customer ID]],customers[Customer ID],customers[City])</f>
        <v>Cincinnati</v>
      </c>
      <c r="N85">
        <f>_xlfn.XLOOKUP(calls[[#This Row],[Customer ID]],customers[Customer ID],customers[Age])</f>
        <v>30</v>
      </c>
      <c r="O85" t="str">
        <f>_xlfn.XLOOKUP(calls[[#This Row],[Customer ID]],customers[Customer ID],customers[Gender])</f>
        <v>Female</v>
      </c>
    </row>
    <row r="86" spans="2:15" x14ac:dyDescent="0.55000000000000004">
      <c r="B86" t="s">
        <v>108</v>
      </c>
      <c r="C86" t="s">
        <v>5</v>
      </c>
      <c r="D86">
        <v>109</v>
      </c>
      <c r="E86" s="16" t="s">
        <v>10</v>
      </c>
      <c r="F86" s="17">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t="str">
        <f>_xlfn.XLOOKUP(calls[[#This Row],[Customer ID]],customers[Customer ID],customers[City])</f>
        <v>Cleveland</v>
      </c>
      <c r="N86">
        <f>_xlfn.XLOOKUP(calls[[#This Row],[Customer ID]],customers[Customer ID],customers[Age])</f>
        <v>42</v>
      </c>
      <c r="O86" t="str">
        <f>_xlfn.XLOOKUP(calls[[#This Row],[Customer ID]],customers[Customer ID],customers[Gender])</f>
        <v>Female</v>
      </c>
    </row>
    <row r="87" spans="2:15" x14ac:dyDescent="0.55000000000000004">
      <c r="B87" t="s">
        <v>109</v>
      </c>
      <c r="C87" t="s">
        <v>12</v>
      </c>
      <c r="D87">
        <v>78</v>
      </c>
      <c r="E87" s="16" t="s">
        <v>10</v>
      </c>
      <c r="F87" s="17">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t="str">
        <f>_xlfn.XLOOKUP(calls[[#This Row],[Customer ID]],customers[Customer ID],customers[City])</f>
        <v>Cincinnati</v>
      </c>
      <c r="N87">
        <f>_xlfn.XLOOKUP(calls[[#This Row],[Customer ID]],customers[Customer ID],customers[Age])</f>
        <v>36</v>
      </c>
      <c r="O87" t="str">
        <f>_xlfn.XLOOKUP(calls[[#This Row],[Customer ID]],customers[Customer ID],customers[Gender])</f>
        <v>Male</v>
      </c>
    </row>
    <row r="88" spans="2:15" x14ac:dyDescent="0.55000000000000004">
      <c r="B88" t="s">
        <v>110</v>
      </c>
      <c r="C88" t="s">
        <v>8</v>
      </c>
      <c r="D88">
        <v>137</v>
      </c>
      <c r="E88" s="16" t="s">
        <v>13</v>
      </c>
      <c r="F88" s="17">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t="str">
        <f>_xlfn.XLOOKUP(calls[[#This Row],[Customer ID]],customers[Customer ID],customers[City])</f>
        <v>Cincinnati</v>
      </c>
      <c r="N88">
        <f>_xlfn.XLOOKUP(calls[[#This Row],[Customer ID]],customers[Customer ID],customers[Age])</f>
        <v>30</v>
      </c>
      <c r="O88" t="str">
        <f>_xlfn.XLOOKUP(calls[[#This Row],[Customer ID]],customers[Customer ID],customers[Gender])</f>
        <v>Female</v>
      </c>
    </row>
    <row r="89" spans="2:15" x14ac:dyDescent="0.55000000000000004">
      <c r="B89" t="s">
        <v>111</v>
      </c>
      <c r="C89" t="s">
        <v>21</v>
      </c>
      <c r="D89">
        <v>99</v>
      </c>
      <c r="E89" s="16" t="s">
        <v>10</v>
      </c>
      <c r="F89" s="17">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t="str">
        <f>_xlfn.XLOOKUP(calls[[#This Row],[Customer ID]],customers[Customer ID],customers[City])</f>
        <v>Columbus</v>
      </c>
      <c r="N89">
        <f>_xlfn.XLOOKUP(calls[[#This Row],[Customer ID]],customers[Customer ID],customers[Age])</f>
        <v>38</v>
      </c>
      <c r="O89" t="str">
        <f>_xlfn.XLOOKUP(calls[[#This Row],[Customer ID]],customers[Customer ID],customers[Gender])</f>
        <v>Female</v>
      </c>
    </row>
    <row r="90" spans="2:15" x14ac:dyDescent="0.55000000000000004">
      <c r="B90" t="s">
        <v>112</v>
      </c>
      <c r="C90" t="s">
        <v>19</v>
      </c>
      <c r="D90">
        <v>100</v>
      </c>
      <c r="E90" s="16" t="s">
        <v>10</v>
      </c>
      <c r="F90" s="17">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t="str">
        <f>_xlfn.XLOOKUP(calls[[#This Row],[Customer ID]],customers[Customer ID],customers[City])</f>
        <v>Cleveland</v>
      </c>
      <c r="N90">
        <f>_xlfn.XLOOKUP(calls[[#This Row],[Customer ID]],customers[Customer ID],customers[Age])</f>
        <v>43</v>
      </c>
      <c r="O90" t="str">
        <f>_xlfn.XLOOKUP(calls[[#This Row],[Customer ID]],customers[Customer ID],customers[Gender])</f>
        <v>Female</v>
      </c>
    </row>
    <row r="91" spans="2:15" x14ac:dyDescent="0.55000000000000004">
      <c r="B91" t="s">
        <v>113</v>
      </c>
      <c r="C91" t="s">
        <v>12</v>
      </c>
      <c r="D91">
        <v>47</v>
      </c>
      <c r="E91" s="16" t="s">
        <v>9</v>
      </c>
      <c r="F91" s="17">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t="str">
        <f>_xlfn.XLOOKUP(calls[[#This Row],[Customer ID]],customers[Customer ID],customers[City])</f>
        <v>Cincinnati</v>
      </c>
      <c r="N91">
        <f>_xlfn.XLOOKUP(calls[[#This Row],[Customer ID]],customers[Customer ID],customers[Age])</f>
        <v>36</v>
      </c>
      <c r="O91" t="str">
        <f>_xlfn.XLOOKUP(calls[[#This Row],[Customer ID]],customers[Customer ID],customers[Gender])</f>
        <v>Male</v>
      </c>
    </row>
    <row r="92" spans="2:15" x14ac:dyDescent="0.55000000000000004">
      <c r="B92" t="s">
        <v>114</v>
      </c>
      <c r="C92" t="s">
        <v>5</v>
      </c>
      <c r="D92">
        <v>87</v>
      </c>
      <c r="E92" s="16" t="s">
        <v>11</v>
      </c>
      <c r="F92" s="17">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t="str">
        <f>_xlfn.XLOOKUP(calls[[#This Row],[Customer ID]],customers[Customer ID],customers[City])</f>
        <v>Cleveland</v>
      </c>
      <c r="N92">
        <f>_xlfn.XLOOKUP(calls[[#This Row],[Customer ID]],customers[Customer ID],customers[Age])</f>
        <v>42</v>
      </c>
      <c r="O92" t="str">
        <f>_xlfn.XLOOKUP(calls[[#This Row],[Customer ID]],customers[Customer ID],customers[Gender])</f>
        <v>Female</v>
      </c>
    </row>
    <row r="93" spans="2:15" x14ac:dyDescent="0.55000000000000004">
      <c r="B93" t="s">
        <v>115</v>
      </c>
      <c r="C93" t="s">
        <v>21</v>
      </c>
      <c r="D93">
        <v>143</v>
      </c>
      <c r="E93" s="16" t="s">
        <v>11</v>
      </c>
      <c r="F93" s="17">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t="str">
        <f>_xlfn.XLOOKUP(calls[[#This Row],[Customer ID]],customers[Customer ID],customers[City])</f>
        <v>Columbus</v>
      </c>
      <c r="N93">
        <f>_xlfn.XLOOKUP(calls[[#This Row],[Customer ID]],customers[Customer ID],customers[Age])</f>
        <v>38</v>
      </c>
      <c r="O93" t="str">
        <f>_xlfn.XLOOKUP(calls[[#This Row],[Customer ID]],customers[Customer ID],customers[Gender])</f>
        <v>Female</v>
      </c>
    </row>
    <row r="94" spans="2:15" x14ac:dyDescent="0.55000000000000004">
      <c r="B94" t="s">
        <v>116</v>
      </c>
      <c r="C94" t="s">
        <v>19</v>
      </c>
      <c r="D94">
        <v>84</v>
      </c>
      <c r="E94" s="16" t="s">
        <v>10</v>
      </c>
      <c r="F94" s="17">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t="str">
        <f>_xlfn.XLOOKUP(calls[[#This Row],[Customer ID]],customers[Customer ID],customers[City])</f>
        <v>Cleveland</v>
      </c>
      <c r="N94">
        <f>_xlfn.XLOOKUP(calls[[#This Row],[Customer ID]],customers[Customer ID],customers[Age])</f>
        <v>43</v>
      </c>
      <c r="O94" t="str">
        <f>_xlfn.XLOOKUP(calls[[#This Row],[Customer ID]],customers[Customer ID],customers[Gender])</f>
        <v>Female</v>
      </c>
    </row>
    <row r="95" spans="2:15" x14ac:dyDescent="0.55000000000000004">
      <c r="B95" t="s">
        <v>117</v>
      </c>
      <c r="C95" t="s">
        <v>17</v>
      </c>
      <c r="D95">
        <v>55</v>
      </c>
      <c r="E95" s="16" t="s">
        <v>11</v>
      </c>
      <c r="F95" s="17">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t="str">
        <f>_xlfn.XLOOKUP(calls[[#This Row],[Customer ID]],customers[Customer ID],customers[City])</f>
        <v>Columbus</v>
      </c>
      <c r="N95">
        <f>_xlfn.XLOOKUP(calls[[#This Row],[Customer ID]],customers[Customer ID],customers[Age])</f>
        <v>41</v>
      </c>
      <c r="O95" t="str">
        <f>_xlfn.XLOOKUP(calls[[#This Row],[Customer ID]],customers[Customer ID],customers[Gender])</f>
        <v>Male</v>
      </c>
    </row>
    <row r="96" spans="2:15" x14ac:dyDescent="0.55000000000000004">
      <c r="B96" t="s">
        <v>118</v>
      </c>
      <c r="C96" t="s">
        <v>15</v>
      </c>
      <c r="D96">
        <v>135</v>
      </c>
      <c r="E96" s="16" t="s">
        <v>13</v>
      </c>
      <c r="F96" s="17">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t="str">
        <f>_xlfn.XLOOKUP(calls[[#This Row],[Customer ID]],customers[Customer ID],customers[City])</f>
        <v>Cleveland</v>
      </c>
      <c r="N96">
        <f>_xlfn.XLOOKUP(calls[[#This Row],[Customer ID]],customers[Customer ID],customers[Age])</f>
        <v>22</v>
      </c>
      <c r="O96" t="str">
        <f>_xlfn.XLOOKUP(calls[[#This Row],[Customer ID]],customers[Customer ID],customers[Gender])</f>
        <v>Female</v>
      </c>
    </row>
    <row r="97" spans="2:15" x14ac:dyDescent="0.55000000000000004">
      <c r="B97" t="s">
        <v>119</v>
      </c>
      <c r="C97" t="s">
        <v>16</v>
      </c>
      <c r="D97">
        <v>152</v>
      </c>
      <c r="E97" s="16" t="s">
        <v>9</v>
      </c>
      <c r="F97" s="17">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t="str">
        <f>_xlfn.XLOOKUP(calls[[#This Row],[Customer ID]],customers[Customer ID],customers[City])</f>
        <v>Cincinnati</v>
      </c>
      <c r="N97">
        <f>_xlfn.XLOOKUP(calls[[#This Row],[Customer ID]],customers[Customer ID],customers[Age])</f>
        <v>28</v>
      </c>
      <c r="O97" t="str">
        <f>_xlfn.XLOOKUP(calls[[#This Row],[Customer ID]],customers[Customer ID],customers[Gender])</f>
        <v>Female</v>
      </c>
    </row>
    <row r="98" spans="2:15" x14ac:dyDescent="0.55000000000000004">
      <c r="B98" t="s">
        <v>120</v>
      </c>
      <c r="C98" t="s">
        <v>23</v>
      </c>
      <c r="D98">
        <v>132</v>
      </c>
      <c r="E98" s="16" t="s">
        <v>9</v>
      </c>
      <c r="F98" s="17">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t="str">
        <f>_xlfn.XLOOKUP(calls[[#This Row],[Customer ID]],customers[Customer ID],customers[City])</f>
        <v>Columbus</v>
      </c>
      <c r="N98">
        <f>_xlfn.XLOOKUP(calls[[#This Row],[Customer ID]],customers[Customer ID],customers[Age])</f>
        <v>37</v>
      </c>
      <c r="O98" t="str">
        <f>_xlfn.XLOOKUP(calls[[#This Row],[Customer ID]],customers[Customer ID],customers[Gender])</f>
        <v>Male</v>
      </c>
    </row>
    <row r="99" spans="2:15" x14ac:dyDescent="0.55000000000000004">
      <c r="B99" t="s">
        <v>121</v>
      </c>
      <c r="C99" t="s">
        <v>7</v>
      </c>
      <c r="D99">
        <v>60</v>
      </c>
      <c r="E99" s="16" t="s">
        <v>10</v>
      </c>
      <c r="F99" s="17">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t="str">
        <f>_xlfn.XLOOKUP(calls[[#This Row],[Customer ID]],customers[Customer ID],customers[City])</f>
        <v>Columbus</v>
      </c>
      <c r="N99">
        <f>_xlfn.XLOOKUP(calls[[#This Row],[Customer ID]],customers[Customer ID],customers[Age])</f>
        <v>23</v>
      </c>
      <c r="O99" t="str">
        <f>_xlfn.XLOOKUP(calls[[#This Row],[Customer ID]],customers[Customer ID],customers[Gender])</f>
        <v>Male</v>
      </c>
    </row>
    <row r="100" spans="2:15" x14ac:dyDescent="0.55000000000000004">
      <c r="B100" t="s">
        <v>122</v>
      </c>
      <c r="C100" t="s">
        <v>16</v>
      </c>
      <c r="D100">
        <v>95</v>
      </c>
      <c r="E100" s="16" t="s">
        <v>9</v>
      </c>
      <c r="F100" s="17">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t="str">
        <f>_xlfn.XLOOKUP(calls[[#This Row],[Customer ID]],customers[Customer ID],customers[City])</f>
        <v>Cincinnati</v>
      </c>
      <c r="N100">
        <f>_xlfn.XLOOKUP(calls[[#This Row],[Customer ID]],customers[Customer ID],customers[Age])</f>
        <v>28</v>
      </c>
      <c r="O100" t="str">
        <f>_xlfn.XLOOKUP(calls[[#This Row],[Customer ID]],customers[Customer ID],customers[Gender])</f>
        <v>Female</v>
      </c>
    </row>
    <row r="101" spans="2:15" x14ac:dyDescent="0.55000000000000004">
      <c r="B101" t="s">
        <v>123</v>
      </c>
      <c r="C101" t="s">
        <v>20</v>
      </c>
      <c r="D101">
        <v>96</v>
      </c>
      <c r="E101" s="16" t="s">
        <v>6</v>
      </c>
      <c r="F101" s="17">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t="str">
        <f>_xlfn.XLOOKUP(calls[[#This Row],[Customer ID]],customers[Customer ID],customers[City])</f>
        <v>Cincinnati</v>
      </c>
      <c r="N101">
        <f>_xlfn.XLOOKUP(calls[[#This Row],[Customer ID]],customers[Customer ID],customers[Age])</f>
        <v>26</v>
      </c>
      <c r="O101" t="str">
        <f>_xlfn.XLOOKUP(calls[[#This Row],[Customer ID]],customers[Customer ID],customers[Gender])</f>
        <v>Male</v>
      </c>
    </row>
    <row r="102" spans="2:15" x14ac:dyDescent="0.55000000000000004">
      <c r="B102" t="s">
        <v>124</v>
      </c>
      <c r="C102" t="s">
        <v>17</v>
      </c>
      <c r="D102">
        <v>45</v>
      </c>
      <c r="E102" s="16" t="s">
        <v>10</v>
      </c>
      <c r="F102" s="17">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t="str">
        <f>_xlfn.XLOOKUP(calls[[#This Row],[Customer ID]],customers[Customer ID],customers[City])</f>
        <v>Columbus</v>
      </c>
      <c r="N102">
        <f>_xlfn.XLOOKUP(calls[[#This Row],[Customer ID]],customers[Customer ID],customers[Age])</f>
        <v>41</v>
      </c>
      <c r="O102" t="str">
        <f>_xlfn.XLOOKUP(calls[[#This Row],[Customer ID]],customers[Customer ID],customers[Gender])</f>
        <v>Male</v>
      </c>
    </row>
    <row r="103" spans="2:15" x14ac:dyDescent="0.55000000000000004">
      <c r="B103" t="s">
        <v>125</v>
      </c>
      <c r="C103" t="s">
        <v>20</v>
      </c>
      <c r="D103">
        <v>132</v>
      </c>
      <c r="E103" s="16" t="s">
        <v>6</v>
      </c>
      <c r="F103" s="17">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t="str">
        <f>_xlfn.XLOOKUP(calls[[#This Row],[Customer ID]],customers[Customer ID],customers[City])</f>
        <v>Cincinnati</v>
      </c>
      <c r="N103">
        <f>_xlfn.XLOOKUP(calls[[#This Row],[Customer ID]],customers[Customer ID],customers[Age])</f>
        <v>26</v>
      </c>
      <c r="O103" t="str">
        <f>_xlfn.XLOOKUP(calls[[#This Row],[Customer ID]],customers[Customer ID],customers[Gender])</f>
        <v>Male</v>
      </c>
    </row>
    <row r="104" spans="2:15" x14ac:dyDescent="0.55000000000000004">
      <c r="B104" t="s">
        <v>126</v>
      </c>
      <c r="C104" t="s">
        <v>14</v>
      </c>
      <c r="D104">
        <v>95</v>
      </c>
      <c r="E104" s="16" t="s">
        <v>10</v>
      </c>
      <c r="F104" s="17">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t="str">
        <f>_xlfn.XLOOKUP(calls[[#This Row],[Customer ID]],customers[Customer ID],customers[City])</f>
        <v>Cleveland</v>
      </c>
      <c r="N104">
        <f>_xlfn.XLOOKUP(calls[[#This Row],[Customer ID]],customers[Customer ID],customers[Age])</f>
        <v>37</v>
      </c>
      <c r="O104" t="str">
        <f>_xlfn.XLOOKUP(calls[[#This Row],[Customer ID]],customers[Customer ID],customers[Gender])</f>
        <v>Female</v>
      </c>
    </row>
    <row r="105" spans="2:15" x14ac:dyDescent="0.55000000000000004">
      <c r="B105" t="s">
        <v>127</v>
      </c>
      <c r="C105" t="s">
        <v>16</v>
      </c>
      <c r="D105">
        <v>131</v>
      </c>
      <c r="E105" s="16" t="s">
        <v>11</v>
      </c>
      <c r="F105" s="17">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t="str">
        <f>_xlfn.XLOOKUP(calls[[#This Row],[Customer ID]],customers[Customer ID],customers[City])</f>
        <v>Cincinnati</v>
      </c>
      <c r="N105">
        <f>_xlfn.XLOOKUP(calls[[#This Row],[Customer ID]],customers[Customer ID],customers[Age])</f>
        <v>28</v>
      </c>
      <c r="O105" t="str">
        <f>_xlfn.XLOOKUP(calls[[#This Row],[Customer ID]],customers[Customer ID],customers[Gender])</f>
        <v>Female</v>
      </c>
    </row>
    <row r="106" spans="2:15" x14ac:dyDescent="0.55000000000000004">
      <c r="B106" t="s">
        <v>128</v>
      </c>
      <c r="C106" t="s">
        <v>22</v>
      </c>
      <c r="D106">
        <v>67</v>
      </c>
      <c r="E106" s="16" t="s">
        <v>13</v>
      </c>
      <c r="F106" s="17">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t="str">
        <f>_xlfn.XLOOKUP(calls[[#This Row],[Customer ID]],customers[Customer ID],customers[City])</f>
        <v>Columbus</v>
      </c>
      <c r="N106">
        <f>_xlfn.XLOOKUP(calls[[#This Row],[Customer ID]],customers[Customer ID],customers[Age])</f>
        <v>25</v>
      </c>
      <c r="O106" t="str">
        <f>_xlfn.XLOOKUP(calls[[#This Row],[Customer ID]],customers[Customer ID],customers[Gender])</f>
        <v>Female</v>
      </c>
    </row>
    <row r="107" spans="2:15" x14ac:dyDescent="0.55000000000000004">
      <c r="B107" t="s">
        <v>129</v>
      </c>
      <c r="C107" t="s">
        <v>21</v>
      </c>
      <c r="D107">
        <v>111</v>
      </c>
      <c r="E107" s="16" t="s">
        <v>11</v>
      </c>
      <c r="F107" s="17">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t="str">
        <f>_xlfn.XLOOKUP(calls[[#This Row],[Customer ID]],customers[Customer ID],customers[City])</f>
        <v>Columbus</v>
      </c>
      <c r="N107">
        <f>_xlfn.XLOOKUP(calls[[#This Row],[Customer ID]],customers[Customer ID],customers[Age])</f>
        <v>38</v>
      </c>
      <c r="O107" t="str">
        <f>_xlfn.XLOOKUP(calls[[#This Row],[Customer ID]],customers[Customer ID],customers[Gender])</f>
        <v>Female</v>
      </c>
    </row>
    <row r="108" spans="2:15" x14ac:dyDescent="0.55000000000000004">
      <c r="B108" t="s">
        <v>130</v>
      </c>
      <c r="C108" t="s">
        <v>23</v>
      </c>
      <c r="D108">
        <v>78</v>
      </c>
      <c r="E108" s="16" t="s">
        <v>9</v>
      </c>
      <c r="F108" s="17">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t="str">
        <f>_xlfn.XLOOKUP(calls[[#This Row],[Customer ID]],customers[Customer ID],customers[City])</f>
        <v>Columbus</v>
      </c>
      <c r="N108">
        <f>_xlfn.XLOOKUP(calls[[#This Row],[Customer ID]],customers[Customer ID],customers[Age])</f>
        <v>37</v>
      </c>
      <c r="O108" t="str">
        <f>_xlfn.XLOOKUP(calls[[#This Row],[Customer ID]],customers[Customer ID],customers[Gender])</f>
        <v>Male</v>
      </c>
    </row>
    <row r="109" spans="2:15" x14ac:dyDescent="0.55000000000000004">
      <c r="B109" t="s">
        <v>131</v>
      </c>
      <c r="C109" t="s">
        <v>24</v>
      </c>
      <c r="D109">
        <v>28</v>
      </c>
      <c r="E109" s="16" t="s">
        <v>6</v>
      </c>
      <c r="F109" s="17">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t="str">
        <f>_xlfn.XLOOKUP(calls[[#This Row],[Customer ID]],customers[Customer ID],customers[City])</f>
        <v>Cleveland</v>
      </c>
      <c r="N109">
        <f>_xlfn.XLOOKUP(calls[[#This Row],[Customer ID]],customers[Customer ID],customers[Age])</f>
        <v>31</v>
      </c>
      <c r="O109" t="str">
        <f>_xlfn.XLOOKUP(calls[[#This Row],[Customer ID]],customers[Customer ID],customers[Gender])</f>
        <v>Male</v>
      </c>
    </row>
    <row r="110" spans="2:15" x14ac:dyDescent="0.55000000000000004">
      <c r="B110" t="s">
        <v>132</v>
      </c>
      <c r="C110" t="s">
        <v>12</v>
      </c>
      <c r="D110">
        <v>127</v>
      </c>
      <c r="E110" s="16" t="s">
        <v>13</v>
      </c>
      <c r="F110" s="17">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t="str">
        <f>_xlfn.XLOOKUP(calls[[#This Row],[Customer ID]],customers[Customer ID],customers[City])</f>
        <v>Cincinnati</v>
      </c>
      <c r="N110">
        <f>_xlfn.XLOOKUP(calls[[#This Row],[Customer ID]],customers[Customer ID],customers[Age])</f>
        <v>36</v>
      </c>
      <c r="O110" t="str">
        <f>_xlfn.XLOOKUP(calls[[#This Row],[Customer ID]],customers[Customer ID],customers[Gender])</f>
        <v>Male</v>
      </c>
    </row>
    <row r="111" spans="2:15" x14ac:dyDescent="0.55000000000000004">
      <c r="B111" t="s">
        <v>133</v>
      </c>
      <c r="C111" t="s">
        <v>19</v>
      </c>
      <c r="D111">
        <v>137</v>
      </c>
      <c r="E111" s="16" t="s">
        <v>11</v>
      </c>
      <c r="F111" s="17">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t="str">
        <f>_xlfn.XLOOKUP(calls[[#This Row],[Customer ID]],customers[Customer ID],customers[City])</f>
        <v>Cleveland</v>
      </c>
      <c r="N111">
        <f>_xlfn.XLOOKUP(calls[[#This Row],[Customer ID]],customers[Customer ID],customers[Age])</f>
        <v>43</v>
      </c>
      <c r="O111" t="str">
        <f>_xlfn.XLOOKUP(calls[[#This Row],[Customer ID]],customers[Customer ID],customers[Gender])</f>
        <v>Female</v>
      </c>
    </row>
    <row r="112" spans="2:15" x14ac:dyDescent="0.55000000000000004">
      <c r="B112" t="s">
        <v>134</v>
      </c>
      <c r="C112" t="s">
        <v>12</v>
      </c>
      <c r="D112">
        <v>76</v>
      </c>
      <c r="E112" s="16" t="s">
        <v>6</v>
      </c>
      <c r="F112" s="17">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t="str">
        <f>_xlfn.XLOOKUP(calls[[#This Row],[Customer ID]],customers[Customer ID],customers[City])</f>
        <v>Cincinnati</v>
      </c>
      <c r="N112">
        <f>_xlfn.XLOOKUP(calls[[#This Row],[Customer ID]],customers[Customer ID],customers[Age])</f>
        <v>36</v>
      </c>
      <c r="O112" t="str">
        <f>_xlfn.XLOOKUP(calls[[#This Row],[Customer ID]],customers[Customer ID],customers[Gender])</f>
        <v>Male</v>
      </c>
    </row>
    <row r="113" spans="2:15" x14ac:dyDescent="0.55000000000000004">
      <c r="B113" t="s">
        <v>135</v>
      </c>
      <c r="C113" t="s">
        <v>23</v>
      </c>
      <c r="D113">
        <v>80</v>
      </c>
      <c r="E113" s="16" t="s">
        <v>13</v>
      </c>
      <c r="F113" s="17">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t="str">
        <f>_xlfn.XLOOKUP(calls[[#This Row],[Customer ID]],customers[Customer ID],customers[City])</f>
        <v>Columbus</v>
      </c>
      <c r="N113">
        <f>_xlfn.XLOOKUP(calls[[#This Row],[Customer ID]],customers[Customer ID],customers[Age])</f>
        <v>37</v>
      </c>
      <c r="O113" t="str">
        <f>_xlfn.XLOOKUP(calls[[#This Row],[Customer ID]],customers[Customer ID],customers[Gender])</f>
        <v>Male</v>
      </c>
    </row>
    <row r="114" spans="2:15" x14ac:dyDescent="0.55000000000000004">
      <c r="B114" t="s">
        <v>136</v>
      </c>
      <c r="C114" t="s">
        <v>12</v>
      </c>
      <c r="D114">
        <v>95</v>
      </c>
      <c r="E114" s="16" t="s">
        <v>9</v>
      </c>
      <c r="F114" s="17">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t="str">
        <f>_xlfn.XLOOKUP(calls[[#This Row],[Customer ID]],customers[Customer ID],customers[City])</f>
        <v>Cincinnati</v>
      </c>
      <c r="N114">
        <f>_xlfn.XLOOKUP(calls[[#This Row],[Customer ID]],customers[Customer ID],customers[Age])</f>
        <v>36</v>
      </c>
      <c r="O114" t="str">
        <f>_xlfn.XLOOKUP(calls[[#This Row],[Customer ID]],customers[Customer ID],customers[Gender])</f>
        <v>Male</v>
      </c>
    </row>
    <row r="115" spans="2:15" x14ac:dyDescent="0.55000000000000004">
      <c r="B115" t="s">
        <v>137</v>
      </c>
      <c r="C115" t="s">
        <v>7</v>
      </c>
      <c r="D115">
        <v>30</v>
      </c>
      <c r="E115" s="16" t="s">
        <v>6</v>
      </c>
      <c r="F115" s="17">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t="str">
        <f>_xlfn.XLOOKUP(calls[[#This Row],[Customer ID]],customers[Customer ID],customers[City])</f>
        <v>Columbus</v>
      </c>
      <c r="N115">
        <f>_xlfn.XLOOKUP(calls[[#This Row],[Customer ID]],customers[Customer ID],customers[Age])</f>
        <v>23</v>
      </c>
      <c r="O115" t="str">
        <f>_xlfn.XLOOKUP(calls[[#This Row],[Customer ID]],customers[Customer ID],customers[Gender])</f>
        <v>Male</v>
      </c>
    </row>
    <row r="116" spans="2:15" x14ac:dyDescent="0.55000000000000004">
      <c r="B116" t="s">
        <v>138</v>
      </c>
      <c r="C116" t="s">
        <v>8</v>
      </c>
      <c r="D116">
        <v>19</v>
      </c>
      <c r="E116" s="16" t="s">
        <v>11</v>
      </c>
      <c r="F116" s="17">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t="str">
        <f>_xlfn.XLOOKUP(calls[[#This Row],[Customer ID]],customers[Customer ID],customers[City])</f>
        <v>Cincinnati</v>
      </c>
      <c r="N116">
        <f>_xlfn.XLOOKUP(calls[[#This Row],[Customer ID]],customers[Customer ID],customers[Age])</f>
        <v>30</v>
      </c>
      <c r="O116" t="str">
        <f>_xlfn.XLOOKUP(calls[[#This Row],[Customer ID]],customers[Customer ID],customers[Gender])</f>
        <v>Female</v>
      </c>
    </row>
    <row r="117" spans="2:15" x14ac:dyDescent="0.55000000000000004">
      <c r="B117" t="s">
        <v>139</v>
      </c>
      <c r="C117" t="s">
        <v>18</v>
      </c>
      <c r="D117">
        <v>38</v>
      </c>
      <c r="E117" s="16" t="s">
        <v>13</v>
      </c>
      <c r="F117" s="17">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t="str">
        <f>_xlfn.XLOOKUP(calls[[#This Row],[Customer ID]],customers[Customer ID],customers[City])</f>
        <v>Cleveland</v>
      </c>
      <c r="N117">
        <f>_xlfn.XLOOKUP(calls[[#This Row],[Customer ID]],customers[Customer ID],customers[Age])</f>
        <v>30</v>
      </c>
      <c r="O117" t="str">
        <f>_xlfn.XLOOKUP(calls[[#This Row],[Customer ID]],customers[Customer ID],customers[Gender])</f>
        <v>Female</v>
      </c>
    </row>
    <row r="118" spans="2:15" x14ac:dyDescent="0.55000000000000004">
      <c r="B118" t="s">
        <v>140</v>
      </c>
      <c r="C118" t="s">
        <v>14</v>
      </c>
      <c r="D118">
        <v>55</v>
      </c>
      <c r="E118" s="16" t="s">
        <v>11</v>
      </c>
      <c r="F118" s="17">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t="str">
        <f>_xlfn.XLOOKUP(calls[[#This Row],[Customer ID]],customers[Customer ID],customers[City])</f>
        <v>Cleveland</v>
      </c>
      <c r="N118">
        <f>_xlfn.XLOOKUP(calls[[#This Row],[Customer ID]],customers[Customer ID],customers[Age])</f>
        <v>37</v>
      </c>
      <c r="O118" t="str">
        <f>_xlfn.XLOOKUP(calls[[#This Row],[Customer ID]],customers[Customer ID],customers[Gender])</f>
        <v>Female</v>
      </c>
    </row>
    <row r="119" spans="2:15" x14ac:dyDescent="0.55000000000000004">
      <c r="B119" t="s">
        <v>141</v>
      </c>
      <c r="C119" t="s">
        <v>22</v>
      </c>
      <c r="D119">
        <v>27</v>
      </c>
      <c r="E119" s="16" t="s">
        <v>6</v>
      </c>
      <c r="F119" s="17">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t="str">
        <f>_xlfn.XLOOKUP(calls[[#This Row],[Customer ID]],customers[Customer ID],customers[City])</f>
        <v>Columbus</v>
      </c>
      <c r="N119">
        <f>_xlfn.XLOOKUP(calls[[#This Row],[Customer ID]],customers[Customer ID],customers[Age])</f>
        <v>25</v>
      </c>
      <c r="O119" t="str">
        <f>_xlfn.XLOOKUP(calls[[#This Row],[Customer ID]],customers[Customer ID],customers[Gender])</f>
        <v>Female</v>
      </c>
    </row>
    <row r="120" spans="2:15" x14ac:dyDescent="0.55000000000000004">
      <c r="B120" t="s">
        <v>142</v>
      </c>
      <c r="C120" t="s">
        <v>22</v>
      </c>
      <c r="D120">
        <v>32</v>
      </c>
      <c r="E120" s="16" t="s">
        <v>6</v>
      </c>
      <c r="F120" s="17">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t="str">
        <f>_xlfn.XLOOKUP(calls[[#This Row],[Customer ID]],customers[Customer ID],customers[City])</f>
        <v>Columbus</v>
      </c>
      <c r="N120">
        <f>_xlfn.XLOOKUP(calls[[#This Row],[Customer ID]],customers[Customer ID],customers[Age])</f>
        <v>25</v>
      </c>
      <c r="O120" t="str">
        <f>_xlfn.XLOOKUP(calls[[#This Row],[Customer ID]],customers[Customer ID],customers[Gender])</f>
        <v>Female</v>
      </c>
    </row>
    <row r="121" spans="2:15" x14ac:dyDescent="0.55000000000000004">
      <c r="B121" t="s">
        <v>143</v>
      </c>
      <c r="C121" t="s">
        <v>24</v>
      </c>
      <c r="D121">
        <v>116</v>
      </c>
      <c r="E121" s="16" t="s">
        <v>10</v>
      </c>
      <c r="F121" s="17">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t="str">
        <f>_xlfn.XLOOKUP(calls[[#This Row],[Customer ID]],customers[Customer ID],customers[City])</f>
        <v>Cleveland</v>
      </c>
      <c r="N121">
        <f>_xlfn.XLOOKUP(calls[[#This Row],[Customer ID]],customers[Customer ID],customers[Age])</f>
        <v>31</v>
      </c>
      <c r="O121" t="str">
        <f>_xlfn.XLOOKUP(calls[[#This Row],[Customer ID]],customers[Customer ID],customers[Gender])</f>
        <v>Male</v>
      </c>
    </row>
    <row r="122" spans="2:15" x14ac:dyDescent="0.55000000000000004">
      <c r="B122" t="s">
        <v>144</v>
      </c>
      <c r="C122" t="s">
        <v>20</v>
      </c>
      <c r="D122">
        <v>99</v>
      </c>
      <c r="E122" s="16" t="s">
        <v>9</v>
      </c>
      <c r="F122" s="17">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t="str">
        <f>_xlfn.XLOOKUP(calls[[#This Row],[Customer ID]],customers[Customer ID],customers[City])</f>
        <v>Cincinnati</v>
      </c>
      <c r="N122">
        <f>_xlfn.XLOOKUP(calls[[#This Row],[Customer ID]],customers[Customer ID],customers[Age])</f>
        <v>26</v>
      </c>
      <c r="O122" t="str">
        <f>_xlfn.XLOOKUP(calls[[#This Row],[Customer ID]],customers[Customer ID],customers[Gender])</f>
        <v>Male</v>
      </c>
    </row>
    <row r="123" spans="2:15" x14ac:dyDescent="0.55000000000000004">
      <c r="B123" t="s">
        <v>145</v>
      </c>
      <c r="C123" t="s">
        <v>12</v>
      </c>
      <c r="D123">
        <v>75</v>
      </c>
      <c r="E123" s="16" t="s">
        <v>6</v>
      </c>
      <c r="F123" s="17">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t="str">
        <f>_xlfn.XLOOKUP(calls[[#This Row],[Customer ID]],customers[Customer ID],customers[City])</f>
        <v>Cincinnati</v>
      </c>
      <c r="N123">
        <f>_xlfn.XLOOKUP(calls[[#This Row],[Customer ID]],customers[Customer ID],customers[Age])</f>
        <v>36</v>
      </c>
      <c r="O123" t="str">
        <f>_xlfn.XLOOKUP(calls[[#This Row],[Customer ID]],customers[Customer ID],customers[Gender])</f>
        <v>Male</v>
      </c>
    </row>
    <row r="124" spans="2:15" x14ac:dyDescent="0.55000000000000004">
      <c r="B124" t="s">
        <v>146</v>
      </c>
      <c r="C124" t="s">
        <v>23</v>
      </c>
      <c r="D124">
        <v>57</v>
      </c>
      <c r="E124" s="16" t="s">
        <v>10</v>
      </c>
      <c r="F124" s="17">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t="str">
        <f>_xlfn.XLOOKUP(calls[[#This Row],[Customer ID]],customers[Customer ID],customers[City])</f>
        <v>Columbus</v>
      </c>
      <c r="N124">
        <f>_xlfn.XLOOKUP(calls[[#This Row],[Customer ID]],customers[Customer ID],customers[Age])</f>
        <v>37</v>
      </c>
      <c r="O124" t="str">
        <f>_xlfn.XLOOKUP(calls[[#This Row],[Customer ID]],customers[Customer ID],customers[Gender])</f>
        <v>Male</v>
      </c>
    </row>
    <row r="125" spans="2:15" x14ac:dyDescent="0.55000000000000004">
      <c r="B125" t="s">
        <v>147</v>
      </c>
      <c r="C125" t="s">
        <v>15</v>
      </c>
      <c r="D125">
        <v>155</v>
      </c>
      <c r="E125" s="16" t="s">
        <v>10</v>
      </c>
      <c r="F125" s="17">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t="str">
        <f>_xlfn.XLOOKUP(calls[[#This Row],[Customer ID]],customers[Customer ID],customers[City])</f>
        <v>Cleveland</v>
      </c>
      <c r="N125">
        <f>_xlfn.XLOOKUP(calls[[#This Row],[Customer ID]],customers[Customer ID],customers[Age])</f>
        <v>22</v>
      </c>
      <c r="O125" t="str">
        <f>_xlfn.XLOOKUP(calls[[#This Row],[Customer ID]],customers[Customer ID],customers[Gender])</f>
        <v>Female</v>
      </c>
    </row>
    <row r="126" spans="2:15" x14ac:dyDescent="0.55000000000000004">
      <c r="B126" t="s">
        <v>148</v>
      </c>
      <c r="C126" t="s">
        <v>20</v>
      </c>
      <c r="D126">
        <v>68</v>
      </c>
      <c r="E126" s="16" t="s">
        <v>9</v>
      </c>
      <c r="F126" s="17">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t="str">
        <f>_xlfn.XLOOKUP(calls[[#This Row],[Customer ID]],customers[Customer ID],customers[City])</f>
        <v>Cincinnati</v>
      </c>
      <c r="N126">
        <f>_xlfn.XLOOKUP(calls[[#This Row],[Customer ID]],customers[Customer ID],customers[Age])</f>
        <v>26</v>
      </c>
      <c r="O126" t="str">
        <f>_xlfn.XLOOKUP(calls[[#This Row],[Customer ID]],customers[Customer ID],customers[Gender])</f>
        <v>Male</v>
      </c>
    </row>
    <row r="127" spans="2:15" x14ac:dyDescent="0.55000000000000004">
      <c r="B127" t="s">
        <v>149</v>
      </c>
      <c r="C127" t="s">
        <v>18</v>
      </c>
      <c r="D127">
        <v>95</v>
      </c>
      <c r="E127" s="16" t="s">
        <v>9</v>
      </c>
      <c r="F127" s="17">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t="str">
        <f>_xlfn.XLOOKUP(calls[[#This Row],[Customer ID]],customers[Customer ID],customers[City])</f>
        <v>Cleveland</v>
      </c>
      <c r="N127">
        <f>_xlfn.XLOOKUP(calls[[#This Row],[Customer ID]],customers[Customer ID],customers[Age])</f>
        <v>30</v>
      </c>
      <c r="O127" t="str">
        <f>_xlfn.XLOOKUP(calls[[#This Row],[Customer ID]],customers[Customer ID],customers[Gender])</f>
        <v>Female</v>
      </c>
    </row>
    <row r="128" spans="2:15" x14ac:dyDescent="0.55000000000000004">
      <c r="B128" t="s">
        <v>150</v>
      </c>
      <c r="C128" t="s">
        <v>19</v>
      </c>
      <c r="D128">
        <v>65</v>
      </c>
      <c r="E128" s="16" t="s">
        <v>10</v>
      </c>
      <c r="F128" s="17">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t="str">
        <f>_xlfn.XLOOKUP(calls[[#This Row],[Customer ID]],customers[Customer ID],customers[City])</f>
        <v>Cleveland</v>
      </c>
      <c r="N128">
        <f>_xlfn.XLOOKUP(calls[[#This Row],[Customer ID]],customers[Customer ID],customers[Age])</f>
        <v>43</v>
      </c>
      <c r="O128" t="str">
        <f>_xlfn.XLOOKUP(calls[[#This Row],[Customer ID]],customers[Customer ID],customers[Gender])</f>
        <v>Female</v>
      </c>
    </row>
    <row r="129" spans="2:15" x14ac:dyDescent="0.55000000000000004">
      <c r="B129" t="s">
        <v>151</v>
      </c>
      <c r="C129" t="s">
        <v>8</v>
      </c>
      <c r="D129">
        <v>114</v>
      </c>
      <c r="E129" s="16" t="s">
        <v>11</v>
      </c>
      <c r="F129" s="17">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t="str">
        <f>_xlfn.XLOOKUP(calls[[#This Row],[Customer ID]],customers[Customer ID],customers[City])</f>
        <v>Cincinnati</v>
      </c>
      <c r="N129">
        <f>_xlfn.XLOOKUP(calls[[#This Row],[Customer ID]],customers[Customer ID],customers[Age])</f>
        <v>30</v>
      </c>
      <c r="O129" t="str">
        <f>_xlfn.XLOOKUP(calls[[#This Row],[Customer ID]],customers[Customer ID],customers[Gender])</f>
        <v>Female</v>
      </c>
    </row>
    <row r="130" spans="2:15" x14ac:dyDescent="0.55000000000000004">
      <c r="B130" t="s">
        <v>152</v>
      </c>
      <c r="C130" t="s">
        <v>12</v>
      </c>
      <c r="D130">
        <v>155</v>
      </c>
      <c r="E130" s="16" t="s">
        <v>11</v>
      </c>
      <c r="F130" s="17">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t="str">
        <f>_xlfn.XLOOKUP(calls[[#This Row],[Customer ID]],customers[Customer ID],customers[City])</f>
        <v>Cincinnati</v>
      </c>
      <c r="N130">
        <f>_xlfn.XLOOKUP(calls[[#This Row],[Customer ID]],customers[Customer ID],customers[Age])</f>
        <v>36</v>
      </c>
      <c r="O130" t="str">
        <f>_xlfn.XLOOKUP(calls[[#This Row],[Customer ID]],customers[Customer ID],customers[Gender])</f>
        <v>Male</v>
      </c>
    </row>
    <row r="131" spans="2:15" x14ac:dyDescent="0.55000000000000004">
      <c r="B131" t="s">
        <v>153</v>
      </c>
      <c r="C131" t="s">
        <v>19</v>
      </c>
      <c r="D131">
        <v>114</v>
      </c>
      <c r="E131" s="16" t="s">
        <v>10</v>
      </c>
      <c r="F131" s="17">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t="str">
        <f>_xlfn.XLOOKUP(calls[[#This Row],[Customer ID]],customers[Customer ID],customers[City])</f>
        <v>Cleveland</v>
      </c>
      <c r="N131">
        <f>_xlfn.XLOOKUP(calls[[#This Row],[Customer ID]],customers[Customer ID],customers[Age])</f>
        <v>43</v>
      </c>
      <c r="O131" t="str">
        <f>_xlfn.XLOOKUP(calls[[#This Row],[Customer ID]],customers[Customer ID],customers[Gender])</f>
        <v>Female</v>
      </c>
    </row>
    <row r="132" spans="2:15" x14ac:dyDescent="0.55000000000000004">
      <c r="B132" t="s">
        <v>154</v>
      </c>
      <c r="C132" t="s">
        <v>15</v>
      </c>
      <c r="D132">
        <v>130</v>
      </c>
      <c r="E132" s="16" t="s">
        <v>13</v>
      </c>
      <c r="F132" s="17">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t="str">
        <f>_xlfn.XLOOKUP(calls[[#This Row],[Customer ID]],customers[Customer ID],customers[City])</f>
        <v>Cleveland</v>
      </c>
      <c r="N132">
        <f>_xlfn.XLOOKUP(calls[[#This Row],[Customer ID]],customers[Customer ID],customers[Age])</f>
        <v>22</v>
      </c>
      <c r="O132" t="str">
        <f>_xlfn.XLOOKUP(calls[[#This Row],[Customer ID]],customers[Customer ID],customers[Gender])</f>
        <v>Female</v>
      </c>
    </row>
    <row r="133" spans="2:15" x14ac:dyDescent="0.55000000000000004">
      <c r="B133" t="s">
        <v>155</v>
      </c>
      <c r="C133" t="s">
        <v>12</v>
      </c>
      <c r="D133">
        <v>89</v>
      </c>
      <c r="E133" s="16" t="s">
        <v>10</v>
      </c>
      <c r="F133" s="17">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t="str">
        <f>_xlfn.XLOOKUP(calls[[#This Row],[Customer ID]],customers[Customer ID],customers[City])</f>
        <v>Cincinnati</v>
      </c>
      <c r="N133">
        <f>_xlfn.XLOOKUP(calls[[#This Row],[Customer ID]],customers[Customer ID],customers[Age])</f>
        <v>36</v>
      </c>
      <c r="O133" t="str">
        <f>_xlfn.XLOOKUP(calls[[#This Row],[Customer ID]],customers[Customer ID],customers[Gender])</f>
        <v>Male</v>
      </c>
    </row>
    <row r="134" spans="2:15" x14ac:dyDescent="0.55000000000000004">
      <c r="B134" t="s">
        <v>156</v>
      </c>
      <c r="C134" t="s">
        <v>17</v>
      </c>
      <c r="D134">
        <v>61</v>
      </c>
      <c r="E134" s="16" t="s">
        <v>6</v>
      </c>
      <c r="F134" s="17">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t="str">
        <f>_xlfn.XLOOKUP(calls[[#This Row],[Customer ID]],customers[Customer ID],customers[City])</f>
        <v>Columbus</v>
      </c>
      <c r="N134">
        <f>_xlfn.XLOOKUP(calls[[#This Row],[Customer ID]],customers[Customer ID],customers[Age])</f>
        <v>41</v>
      </c>
      <c r="O134" t="str">
        <f>_xlfn.XLOOKUP(calls[[#This Row],[Customer ID]],customers[Customer ID],customers[Gender])</f>
        <v>Male</v>
      </c>
    </row>
    <row r="135" spans="2:15" x14ac:dyDescent="0.55000000000000004">
      <c r="B135" t="s">
        <v>157</v>
      </c>
      <c r="C135" t="s">
        <v>18</v>
      </c>
      <c r="D135">
        <v>154</v>
      </c>
      <c r="E135" s="16" t="s">
        <v>11</v>
      </c>
      <c r="F135" s="17">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t="str">
        <f>_xlfn.XLOOKUP(calls[[#This Row],[Customer ID]],customers[Customer ID],customers[City])</f>
        <v>Cleveland</v>
      </c>
      <c r="N135">
        <f>_xlfn.XLOOKUP(calls[[#This Row],[Customer ID]],customers[Customer ID],customers[Age])</f>
        <v>30</v>
      </c>
      <c r="O135" t="str">
        <f>_xlfn.XLOOKUP(calls[[#This Row],[Customer ID]],customers[Customer ID],customers[Gender])</f>
        <v>Female</v>
      </c>
    </row>
    <row r="136" spans="2:15" x14ac:dyDescent="0.55000000000000004">
      <c r="B136" t="s">
        <v>158</v>
      </c>
      <c r="C136" t="s">
        <v>19</v>
      </c>
      <c r="D136">
        <v>115</v>
      </c>
      <c r="E136" s="16" t="s">
        <v>13</v>
      </c>
      <c r="F136" s="17">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t="str">
        <f>_xlfn.XLOOKUP(calls[[#This Row],[Customer ID]],customers[Customer ID],customers[City])</f>
        <v>Cleveland</v>
      </c>
      <c r="N136">
        <f>_xlfn.XLOOKUP(calls[[#This Row],[Customer ID]],customers[Customer ID],customers[Age])</f>
        <v>43</v>
      </c>
      <c r="O136" t="str">
        <f>_xlfn.XLOOKUP(calls[[#This Row],[Customer ID]],customers[Customer ID],customers[Gender])</f>
        <v>Female</v>
      </c>
    </row>
    <row r="137" spans="2:15" x14ac:dyDescent="0.55000000000000004">
      <c r="B137" t="s">
        <v>159</v>
      </c>
      <c r="C137" t="s">
        <v>5</v>
      </c>
      <c r="D137">
        <v>138</v>
      </c>
      <c r="E137" s="16" t="s">
        <v>9</v>
      </c>
      <c r="F137" s="17">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t="str">
        <f>_xlfn.XLOOKUP(calls[[#This Row],[Customer ID]],customers[Customer ID],customers[City])</f>
        <v>Cleveland</v>
      </c>
      <c r="N137">
        <f>_xlfn.XLOOKUP(calls[[#This Row],[Customer ID]],customers[Customer ID],customers[Age])</f>
        <v>42</v>
      </c>
      <c r="O137" t="str">
        <f>_xlfn.XLOOKUP(calls[[#This Row],[Customer ID]],customers[Customer ID],customers[Gender])</f>
        <v>Female</v>
      </c>
    </row>
    <row r="138" spans="2:15" x14ac:dyDescent="0.55000000000000004">
      <c r="B138" t="s">
        <v>160</v>
      </c>
      <c r="C138" t="s">
        <v>21</v>
      </c>
      <c r="D138">
        <v>153</v>
      </c>
      <c r="E138" s="16" t="s">
        <v>10</v>
      </c>
      <c r="F138" s="17">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t="str">
        <f>_xlfn.XLOOKUP(calls[[#This Row],[Customer ID]],customers[Customer ID],customers[City])</f>
        <v>Columbus</v>
      </c>
      <c r="N138">
        <f>_xlfn.XLOOKUP(calls[[#This Row],[Customer ID]],customers[Customer ID],customers[Age])</f>
        <v>38</v>
      </c>
      <c r="O138" t="str">
        <f>_xlfn.XLOOKUP(calls[[#This Row],[Customer ID]],customers[Customer ID],customers[Gender])</f>
        <v>Female</v>
      </c>
    </row>
    <row r="139" spans="2:15" x14ac:dyDescent="0.55000000000000004">
      <c r="B139" t="s">
        <v>161</v>
      </c>
      <c r="C139" t="s">
        <v>19</v>
      </c>
      <c r="D139">
        <v>61</v>
      </c>
      <c r="E139" s="16" t="s">
        <v>6</v>
      </c>
      <c r="F139" s="17">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t="str">
        <f>_xlfn.XLOOKUP(calls[[#This Row],[Customer ID]],customers[Customer ID],customers[City])</f>
        <v>Cleveland</v>
      </c>
      <c r="N139">
        <f>_xlfn.XLOOKUP(calls[[#This Row],[Customer ID]],customers[Customer ID],customers[Age])</f>
        <v>43</v>
      </c>
      <c r="O139" t="str">
        <f>_xlfn.XLOOKUP(calls[[#This Row],[Customer ID]],customers[Customer ID],customers[Gender])</f>
        <v>Female</v>
      </c>
    </row>
    <row r="140" spans="2:15" x14ac:dyDescent="0.55000000000000004">
      <c r="B140" t="s">
        <v>162</v>
      </c>
      <c r="C140" t="s">
        <v>22</v>
      </c>
      <c r="D140">
        <v>62</v>
      </c>
      <c r="E140" s="16" t="s">
        <v>10</v>
      </c>
      <c r="F140" s="17">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t="str">
        <f>_xlfn.XLOOKUP(calls[[#This Row],[Customer ID]],customers[Customer ID],customers[City])</f>
        <v>Columbus</v>
      </c>
      <c r="N140">
        <f>_xlfn.XLOOKUP(calls[[#This Row],[Customer ID]],customers[Customer ID],customers[Age])</f>
        <v>25</v>
      </c>
      <c r="O140" t="str">
        <f>_xlfn.XLOOKUP(calls[[#This Row],[Customer ID]],customers[Customer ID],customers[Gender])</f>
        <v>Female</v>
      </c>
    </row>
    <row r="141" spans="2:15" x14ac:dyDescent="0.55000000000000004">
      <c r="B141" t="s">
        <v>163</v>
      </c>
      <c r="C141" t="s">
        <v>17</v>
      </c>
      <c r="D141">
        <v>151</v>
      </c>
      <c r="E141" s="16" t="s">
        <v>13</v>
      </c>
      <c r="F141" s="17">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t="str">
        <f>_xlfn.XLOOKUP(calls[[#This Row],[Customer ID]],customers[Customer ID],customers[City])</f>
        <v>Columbus</v>
      </c>
      <c r="N141">
        <f>_xlfn.XLOOKUP(calls[[#This Row],[Customer ID]],customers[Customer ID],customers[Age])</f>
        <v>41</v>
      </c>
      <c r="O141" t="str">
        <f>_xlfn.XLOOKUP(calls[[#This Row],[Customer ID]],customers[Customer ID],customers[Gender])</f>
        <v>Male</v>
      </c>
    </row>
    <row r="142" spans="2:15" x14ac:dyDescent="0.55000000000000004">
      <c r="B142" t="s">
        <v>164</v>
      </c>
      <c r="C142" t="s">
        <v>16</v>
      </c>
      <c r="D142">
        <v>102</v>
      </c>
      <c r="E142" s="16" t="s">
        <v>11</v>
      </c>
      <c r="F142" s="17">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t="str">
        <f>_xlfn.XLOOKUP(calls[[#This Row],[Customer ID]],customers[Customer ID],customers[City])</f>
        <v>Cincinnati</v>
      </c>
      <c r="N142">
        <f>_xlfn.XLOOKUP(calls[[#This Row],[Customer ID]],customers[Customer ID],customers[Age])</f>
        <v>28</v>
      </c>
      <c r="O142" t="str">
        <f>_xlfn.XLOOKUP(calls[[#This Row],[Customer ID]],customers[Customer ID],customers[Gender])</f>
        <v>Female</v>
      </c>
    </row>
    <row r="143" spans="2:15" x14ac:dyDescent="0.55000000000000004">
      <c r="B143" t="s">
        <v>165</v>
      </c>
      <c r="C143" t="s">
        <v>7</v>
      </c>
      <c r="D143">
        <v>64</v>
      </c>
      <c r="E143" s="16" t="s">
        <v>10</v>
      </c>
      <c r="F143" s="17">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t="str">
        <f>_xlfn.XLOOKUP(calls[[#This Row],[Customer ID]],customers[Customer ID],customers[City])</f>
        <v>Columbus</v>
      </c>
      <c r="N143">
        <f>_xlfn.XLOOKUP(calls[[#This Row],[Customer ID]],customers[Customer ID],customers[Age])</f>
        <v>23</v>
      </c>
      <c r="O143" t="str">
        <f>_xlfn.XLOOKUP(calls[[#This Row],[Customer ID]],customers[Customer ID],customers[Gender])</f>
        <v>Male</v>
      </c>
    </row>
    <row r="144" spans="2:15" x14ac:dyDescent="0.55000000000000004">
      <c r="B144" t="s">
        <v>166</v>
      </c>
      <c r="C144" t="s">
        <v>12</v>
      </c>
      <c r="D144">
        <v>6</v>
      </c>
      <c r="E144" s="16" t="s">
        <v>11</v>
      </c>
      <c r="F144" s="17">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t="str">
        <f>_xlfn.XLOOKUP(calls[[#This Row],[Customer ID]],customers[Customer ID],customers[City])</f>
        <v>Cincinnati</v>
      </c>
      <c r="N144">
        <f>_xlfn.XLOOKUP(calls[[#This Row],[Customer ID]],customers[Customer ID],customers[Age])</f>
        <v>36</v>
      </c>
      <c r="O144" t="str">
        <f>_xlfn.XLOOKUP(calls[[#This Row],[Customer ID]],customers[Customer ID],customers[Gender])</f>
        <v>Male</v>
      </c>
    </row>
    <row r="145" spans="2:15" x14ac:dyDescent="0.55000000000000004">
      <c r="B145" t="s">
        <v>167</v>
      </c>
      <c r="C145" t="s">
        <v>7</v>
      </c>
      <c r="D145">
        <v>129</v>
      </c>
      <c r="E145" s="16" t="s">
        <v>10</v>
      </c>
      <c r="F145" s="17">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t="str">
        <f>_xlfn.XLOOKUP(calls[[#This Row],[Customer ID]],customers[Customer ID],customers[City])</f>
        <v>Columbus</v>
      </c>
      <c r="N145">
        <f>_xlfn.XLOOKUP(calls[[#This Row],[Customer ID]],customers[Customer ID],customers[Age])</f>
        <v>23</v>
      </c>
      <c r="O145" t="str">
        <f>_xlfn.XLOOKUP(calls[[#This Row],[Customer ID]],customers[Customer ID],customers[Gender])</f>
        <v>Male</v>
      </c>
    </row>
    <row r="146" spans="2:15" x14ac:dyDescent="0.55000000000000004">
      <c r="B146" t="s">
        <v>168</v>
      </c>
      <c r="C146" t="s">
        <v>22</v>
      </c>
      <c r="D146">
        <v>42</v>
      </c>
      <c r="E146" s="16" t="s">
        <v>13</v>
      </c>
      <c r="F146" s="17">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t="str">
        <f>_xlfn.XLOOKUP(calls[[#This Row],[Customer ID]],customers[Customer ID],customers[City])</f>
        <v>Columbus</v>
      </c>
      <c r="N146">
        <f>_xlfn.XLOOKUP(calls[[#This Row],[Customer ID]],customers[Customer ID],customers[Age])</f>
        <v>25</v>
      </c>
      <c r="O146" t="str">
        <f>_xlfn.XLOOKUP(calls[[#This Row],[Customer ID]],customers[Customer ID],customers[Gender])</f>
        <v>Female</v>
      </c>
    </row>
    <row r="147" spans="2:15" x14ac:dyDescent="0.55000000000000004">
      <c r="B147" t="s">
        <v>169</v>
      </c>
      <c r="C147" t="s">
        <v>22</v>
      </c>
      <c r="D147">
        <v>71</v>
      </c>
      <c r="E147" s="16" t="s">
        <v>6</v>
      </c>
      <c r="F147" s="17">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t="str">
        <f>_xlfn.XLOOKUP(calls[[#This Row],[Customer ID]],customers[Customer ID],customers[City])</f>
        <v>Columbus</v>
      </c>
      <c r="N147">
        <f>_xlfn.XLOOKUP(calls[[#This Row],[Customer ID]],customers[Customer ID],customers[Age])</f>
        <v>25</v>
      </c>
      <c r="O147" t="str">
        <f>_xlfn.XLOOKUP(calls[[#This Row],[Customer ID]],customers[Customer ID],customers[Gender])</f>
        <v>Female</v>
      </c>
    </row>
    <row r="148" spans="2:15" x14ac:dyDescent="0.55000000000000004">
      <c r="B148" t="s">
        <v>170</v>
      </c>
      <c r="C148" t="s">
        <v>23</v>
      </c>
      <c r="D148">
        <v>53</v>
      </c>
      <c r="E148" s="16" t="s">
        <v>11</v>
      </c>
      <c r="F148" s="17">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t="str">
        <f>_xlfn.XLOOKUP(calls[[#This Row],[Customer ID]],customers[Customer ID],customers[City])</f>
        <v>Columbus</v>
      </c>
      <c r="N148">
        <f>_xlfn.XLOOKUP(calls[[#This Row],[Customer ID]],customers[Customer ID],customers[Age])</f>
        <v>37</v>
      </c>
      <c r="O148" t="str">
        <f>_xlfn.XLOOKUP(calls[[#This Row],[Customer ID]],customers[Customer ID],customers[Gender])</f>
        <v>Male</v>
      </c>
    </row>
    <row r="149" spans="2:15" x14ac:dyDescent="0.55000000000000004">
      <c r="B149" t="s">
        <v>171</v>
      </c>
      <c r="C149" t="s">
        <v>8</v>
      </c>
      <c r="D149">
        <v>155</v>
      </c>
      <c r="E149" s="16" t="s">
        <v>6</v>
      </c>
      <c r="F149" s="17">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t="str">
        <f>_xlfn.XLOOKUP(calls[[#This Row],[Customer ID]],customers[Customer ID],customers[City])</f>
        <v>Cincinnati</v>
      </c>
      <c r="N149">
        <f>_xlfn.XLOOKUP(calls[[#This Row],[Customer ID]],customers[Customer ID],customers[Age])</f>
        <v>30</v>
      </c>
      <c r="O149" t="str">
        <f>_xlfn.XLOOKUP(calls[[#This Row],[Customer ID]],customers[Customer ID],customers[Gender])</f>
        <v>Female</v>
      </c>
    </row>
    <row r="150" spans="2:15" x14ac:dyDescent="0.55000000000000004">
      <c r="B150" t="s">
        <v>172</v>
      </c>
      <c r="C150" t="s">
        <v>8</v>
      </c>
      <c r="D150">
        <v>90</v>
      </c>
      <c r="E150" s="16" t="s">
        <v>13</v>
      </c>
      <c r="F150" s="17">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t="str">
        <f>_xlfn.XLOOKUP(calls[[#This Row],[Customer ID]],customers[Customer ID],customers[City])</f>
        <v>Cincinnati</v>
      </c>
      <c r="N150">
        <f>_xlfn.XLOOKUP(calls[[#This Row],[Customer ID]],customers[Customer ID],customers[Age])</f>
        <v>30</v>
      </c>
      <c r="O150" t="str">
        <f>_xlfn.XLOOKUP(calls[[#This Row],[Customer ID]],customers[Customer ID],customers[Gender])</f>
        <v>Female</v>
      </c>
    </row>
    <row r="151" spans="2:15" x14ac:dyDescent="0.55000000000000004">
      <c r="B151" t="s">
        <v>173</v>
      </c>
      <c r="C151" t="s">
        <v>7</v>
      </c>
      <c r="D151">
        <v>166</v>
      </c>
      <c r="E151" s="16" t="s">
        <v>9</v>
      </c>
      <c r="F151" s="17">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t="str">
        <f>_xlfn.XLOOKUP(calls[[#This Row],[Customer ID]],customers[Customer ID],customers[City])</f>
        <v>Columbus</v>
      </c>
      <c r="N151">
        <f>_xlfn.XLOOKUP(calls[[#This Row],[Customer ID]],customers[Customer ID],customers[Age])</f>
        <v>23</v>
      </c>
      <c r="O151" t="str">
        <f>_xlfn.XLOOKUP(calls[[#This Row],[Customer ID]],customers[Customer ID],customers[Gender])</f>
        <v>Male</v>
      </c>
    </row>
    <row r="152" spans="2:15" x14ac:dyDescent="0.55000000000000004">
      <c r="B152" t="s">
        <v>174</v>
      </c>
      <c r="C152" t="s">
        <v>24</v>
      </c>
      <c r="D152">
        <v>89</v>
      </c>
      <c r="E152" s="16" t="s">
        <v>6</v>
      </c>
      <c r="F152" s="17">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t="str">
        <f>_xlfn.XLOOKUP(calls[[#This Row],[Customer ID]],customers[Customer ID],customers[City])</f>
        <v>Cleveland</v>
      </c>
      <c r="N152">
        <f>_xlfn.XLOOKUP(calls[[#This Row],[Customer ID]],customers[Customer ID],customers[Age])</f>
        <v>31</v>
      </c>
      <c r="O152" t="str">
        <f>_xlfn.XLOOKUP(calls[[#This Row],[Customer ID]],customers[Customer ID],customers[Gender])</f>
        <v>Male</v>
      </c>
    </row>
    <row r="153" spans="2:15" x14ac:dyDescent="0.55000000000000004">
      <c r="B153" t="s">
        <v>175</v>
      </c>
      <c r="C153" t="s">
        <v>19</v>
      </c>
      <c r="D153">
        <v>152</v>
      </c>
      <c r="E153" s="16" t="s">
        <v>11</v>
      </c>
      <c r="F153" s="17">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t="str">
        <f>_xlfn.XLOOKUP(calls[[#This Row],[Customer ID]],customers[Customer ID],customers[City])</f>
        <v>Cleveland</v>
      </c>
      <c r="N153">
        <f>_xlfn.XLOOKUP(calls[[#This Row],[Customer ID]],customers[Customer ID],customers[Age])</f>
        <v>43</v>
      </c>
      <c r="O153" t="str">
        <f>_xlfn.XLOOKUP(calls[[#This Row],[Customer ID]],customers[Customer ID],customers[Gender])</f>
        <v>Female</v>
      </c>
    </row>
    <row r="154" spans="2:15" x14ac:dyDescent="0.55000000000000004">
      <c r="B154" t="s">
        <v>176</v>
      </c>
      <c r="C154" t="s">
        <v>24</v>
      </c>
      <c r="D154">
        <v>137</v>
      </c>
      <c r="E154" s="16" t="s">
        <v>13</v>
      </c>
      <c r="F154" s="17">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t="str">
        <f>_xlfn.XLOOKUP(calls[[#This Row],[Customer ID]],customers[Customer ID],customers[City])</f>
        <v>Cleveland</v>
      </c>
      <c r="N154">
        <f>_xlfn.XLOOKUP(calls[[#This Row],[Customer ID]],customers[Customer ID],customers[Age])</f>
        <v>31</v>
      </c>
      <c r="O154" t="str">
        <f>_xlfn.XLOOKUP(calls[[#This Row],[Customer ID]],customers[Customer ID],customers[Gender])</f>
        <v>Male</v>
      </c>
    </row>
    <row r="155" spans="2:15" x14ac:dyDescent="0.55000000000000004">
      <c r="B155" t="s">
        <v>177</v>
      </c>
      <c r="C155" t="s">
        <v>24</v>
      </c>
      <c r="D155">
        <v>43</v>
      </c>
      <c r="E155" s="16" t="s">
        <v>13</v>
      </c>
      <c r="F155" s="17">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t="str">
        <f>_xlfn.XLOOKUP(calls[[#This Row],[Customer ID]],customers[Customer ID],customers[City])</f>
        <v>Cleveland</v>
      </c>
      <c r="N155">
        <f>_xlfn.XLOOKUP(calls[[#This Row],[Customer ID]],customers[Customer ID],customers[Age])</f>
        <v>31</v>
      </c>
      <c r="O155" t="str">
        <f>_xlfn.XLOOKUP(calls[[#This Row],[Customer ID]],customers[Customer ID],customers[Gender])</f>
        <v>Male</v>
      </c>
    </row>
    <row r="156" spans="2:15" x14ac:dyDescent="0.55000000000000004">
      <c r="B156" t="s">
        <v>178</v>
      </c>
      <c r="C156" t="s">
        <v>18</v>
      </c>
      <c r="D156">
        <v>114</v>
      </c>
      <c r="E156" s="16" t="s">
        <v>13</v>
      </c>
      <c r="F156" s="17">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t="str">
        <f>_xlfn.XLOOKUP(calls[[#This Row],[Customer ID]],customers[Customer ID],customers[City])</f>
        <v>Cleveland</v>
      </c>
      <c r="N156">
        <f>_xlfn.XLOOKUP(calls[[#This Row],[Customer ID]],customers[Customer ID],customers[Age])</f>
        <v>30</v>
      </c>
      <c r="O156" t="str">
        <f>_xlfn.XLOOKUP(calls[[#This Row],[Customer ID]],customers[Customer ID],customers[Gender])</f>
        <v>Female</v>
      </c>
    </row>
    <row r="157" spans="2:15" x14ac:dyDescent="0.55000000000000004">
      <c r="B157" t="s">
        <v>179</v>
      </c>
      <c r="C157" t="s">
        <v>21</v>
      </c>
      <c r="D157">
        <v>103</v>
      </c>
      <c r="E157" s="16" t="s">
        <v>6</v>
      </c>
      <c r="F157" s="17">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t="str">
        <f>_xlfn.XLOOKUP(calls[[#This Row],[Customer ID]],customers[Customer ID],customers[City])</f>
        <v>Columbus</v>
      </c>
      <c r="N157">
        <f>_xlfn.XLOOKUP(calls[[#This Row],[Customer ID]],customers[Customer ID],customers[Age])</f>
        <v>38</v>
      </c>
      <c r="O157" t="str">
        <f>_xlfn.XLOOKUP(calls[[#This Row],[Customer ID]],customers[Customer ID],customers[Gender])</f>
        <v>Female</v>
      </c>
    </row>
    <row r="158" spans="2:15" x14ac:dyDescent="0.55000000000000004">
      <c r="B158" t="s">
        <v>180</v>
      </c>
      <c r="C158" t="s">
        <v>24</v>
      </c>
      <c r="D158">
        <v>98</v>
      </c>
      <c r="E158" s="16" t="s">
        <v>11</v>
      </c>
      <c r="F158" s="17">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t="str">
        <f>_xlfn.XLOOKUP(calls[[#This Row],[Customer ID]],customers[Customer ID],customers[City])</f>
        <v>Cleveland</v>
      </c>
      <c r="N158">
        <f>_xlfn.XLOOKUP(calls[[#This Row],[Customer ID]],customers[Customer ID],customers[Age])</f>
        <v>31</v>
      </c>
      <c r="O158" t="str">
        <f>_xlfn.XLOOKUP(calls[[#This Row],[Customer ID]],customers[Customer ID],customers[Gender])</f>
        <v>Male</v>
      </c>
    </row>
    <row r="159" spans="2:15" x14ac:dyDescent="0.55000000000000004">
      <c r="B159" t="s">
        <v>181</v>
      </c>
      <c r="C159" t="s">
        <v>7</v>
      </c>
      <c r="D159">
        <v>106</v>
      </c>
      <c r="E159" s="16" t="s">
        <v>9</v>
      </c>
      <c r="F159" s="17">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t="str">
        <f>_xlfn.XLOOKUP(calls[[#This Row],[Customer ID]],customers[Customer ID],customers[City])</f>
        <v>Columbus</v>
      </c>
      <c r="N159">
        <f>_xlfn.XLOOKUP(calls[[#This Row],[Customer ID]],customers[Customer ID],customers[Age])</f>
        <v>23</v>
      </c>
      <c r="O159" t="str">
        <f>_xlfn.XLOOKUP(calls[[#This Row],[Customer ID]],customers[Customer ID],customers[Gender])</f>
        <v>Male</v>
      </c>
    </row>
    <row r="160" spans="2:15" x14ac:dyDescent="0.55000000000000004">
      <c r="B160" t="s">
        <v>182</v>
      </c>
      <c r="C160" t="s">
        <v>12</v>
      </c>
      <c r="D160">
        <v>96</v>
      </c>
      <c r="E160" s="16" t="s">
        <v>9</v>
      </c>
      <c r="F160" s="17">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t="str">
        <f>_xlfn.XLOOKUP(calls[[#This Row],[Customer ID]],customers[Customer ID],customers[City])</f>
        <v>Cincinnati</v>
      </c>
      <c r="N160">
        <f>_xlfn.XLOOKUP(calls[[#This Row],[Customer ID]],customers[Customer ID],customers[Age])</f>
        <v>36</v>
      </c>
      <c r="O160" t="str">
        <f>_xlfn.XLOOKUP(calls[[#This Row],[Customer ID]],customers[Customer ID],customers[Gender])</f>
        <v>Male</v>
      </c>
    </row>
    <row r="161" spans="2:15" x14ac:dyDescent="0.55000000000000004">
      <c r="B161" t="s">
        <v>183</v>
      </c>
      <c r="C161" t="s">
        <v>21</v>
      </c>
      <c r="D161">
        <v>70</v>
      </c>
      <c r="E161" s="16" t="s">
        <v>9</v>
      </c>
      <c r="F161" s="17">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t="str">
        <f>_xlfn.XLOOKUP(calls[[#This Row],[Customer ID]],customers[Customer ID],customers[City])</f>
        <v>Columbus</v>
      </c>
      <c r="N161">
        <f>_xlfn.XLOOKUP(calls[[#This Row],[Customer ID]],customers[Customer ID],customers[Age])</f>
        <v>38</v>
      </c>
      <c r="O161" t="str">
        <f>_xlfn.XLOOKUP(calls[[#This Row],[Customer ID]],customers[Customer ID],customers[Gender])</f>
        <v>Female</v>
      </c>
    </row>
    <row r="162" spans="2:15" x14ac:dyDescent="0.55000000000000004">
      <c r="B162" t="s">
        <v>184</v>
      </c>
      <c r="C162" t="s">
        <v>22</v>
      </c>
      <c r="D162">
        <v>86</v>
      </c>
      <c r="E162" s="16" t="s">
        <v>10</v>
      </c>
      <c r="F162" s="17">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t="str">
        <f>_xlfn.XLOOKUP(calls[[#This Row],[Customer ID]],customers[Customer ID],customers[City])</f>
        <v>Columbus</v>
      </c>
      <c r="N162">
        <f>_xlfn.XLOOKUP(calls[[#This Row],[Customer ID]],customers[Customer ID],customers[Age])</f>
        <v>25</v>
      </c>
      <c r="O162" t="str">
        <f>_xlfn.XLOOKUP(calls[[#This Row],[Customer ID]],customers[Customer ID],customers[Gender])</f>
        <v>Female</v>
      </c>
    </row>
    <row r="163" spans="2:15" x14ac:dyDescent="0.55000000000000004">
      <c r="B163" t="s">
        <v>185</v>
      </c>
      <c r="C163" t="s">
        <v>23</v>
      </c>
      <c r="D163">
        <v>64</v>
      </c>
      <c r="E163" s="16" t="s">
        <v>10</v>
      </c>
      <c r="F163" s="17">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t="str">
        <f>_xlfn.XLOOKUP(calls[[#This Row],[Customer ID]],customers[Customer ID],customers[City])</f>
        <v>Columbus</v>
      </c>
      <c r="N163">
        <f>_xlfn.XLOOKUP(calls[[#This Row],[Customer ID]],customers[Customer ID],customers[Age])</f>
        <v>37</v>
      </c>
      <c r="O163" t="str">
        <f>_xlfn.XLOOKUP(calls[[#This Row],[Customer ID]],customers[Customer ID],customers[Gender])</f>
        <v>Male</v>
      </c>
    </row>
    <row r="164" spans="2:15" x14ac:dyDescent="0.55000000000000004">
      <c r="B164" t="s">
        <v>186</v>
      </c>
      <c r="C164" t="s">
        <v>12</v>
      </c>
      <c r="D164">
        <v>113</v>
      </c>
      <c r="E164" s="16" t="s">
        <v>11</v>
      </c>
      <c r="F164" s="17">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t="str">
        <f>_xlfn.XLOOKUP(calls[[#This Row],[Customer ID]],customers[Customer ID],customers[City])</f>
        <v>Cincinnati</v>
      </c>
      <c r="N164">
        <f>_xlfn.XLOOKUP(calls[[#This Row],[Customer ID]],customers[Customer ID],customers[Age])</f>
        <v>36</v>
      </c>
      <c r="O164" t="str">
        <f>_xlfn.XLOOKUP(calls[[#This Row],[Customer ID]],customers[Customer ID],customers[Gender])</f>
        <v>Male</v>
      </c>
    </row>
    <row r="165" spans="2:15" x14ac:dyDescent="0.55000000000000004">
      <c r="B165" t="s">
        <v>187</v>
      </c>
      <c r="C165" t="s">
        <v>12</v>
      </c>
      <c r="D165">
        <v>21</v>
      </c>
      <c r="E165" s="16" t="s">
        <v>9</v>
      </c>
      <c r="F165" s="17">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t="str">
        <f>_xlfn.XLOOKUP(calls[[#This Row],[Customer ID]],customers[Customer ID],customers[City])</f>
        <v>Cincinnati</v>
      </c>
      <c r="N165">
        <f>_xlfn.XLOOKUP(calls[[#This Row],[Customer ID]],customers[Customer ID],customers[Age])</f>
        <v>36</v>
      </c>
      <c r="O165" t="str">
        <f>_xlfn.XLOOKUP(calls[[#This Row],[Customer ID]],customers[Customer ID],customers[Gender])</f>
        <v>Male</v>
      </c>
    </row>
    <row r="166" spans="2:15" x14ac:dyDescent="0.55000000000000004">
      <c r="B166" t="s">
        <v>188</v>
      </c>
      <c r="C166" t="s">
        <v>16</v>
      </c>
      <c r="D166">
        <v>107</v>
      </c>
      <c r="E166" s="16" t="s">
        <v>10</v>
      </c>
      <c r="F166" s="17">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t="str">
        <f>_xlfn.XLOOKUP(calls[[#This Row],[Customer ID]],customers[Customer ID],customers[City])</f>
        <v>Cincinnati</v>
      </c>
      <c r="N166">
        <f>_xlfn.XLOOKUP(calls[[#This Row],[Customer ID]],customers[Customer ID],customers[Age])</f>
        <v>28</v>
      </c>
      <c r="O166" t="str">
        <f>_xlfn.XLOOKUP(calls[[#This Row],[Customer ID]],customers[Customer ID],customers[Gender])</f>
        <v>Female</v>
      </c>
    </row>
    <row r="167" spans="2:15" x14ac:dyDescent="0.55000000000000004">
      <c r="B167" t="s">
        <v>189</v>
      </c>
      <c r="C167" t="s">
        <v>16</v>
      </c>
      <c r="D167">
        <v>131</v>
      </c>
      <c r="E167" s="16" t="s">
        <v>9</v>
      </c>
      <c r="F167" s="17">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t="str">
        <f>_xlfn.XLOOKUP(calls[[#This Row],[Customer ID]],customers[Customer ID],customers[City])</f>
        <v>Cincinnati</v>
      </c>
      <c r="N167">
        <f>_xlfn.XLOOKUP(calls[[#This Row],[Customer ID]],customers[Customer ID],customers[Age])</f>
        <v>28</v>
      </c>
      <c r="O167" t="str">
        <f>_xlfn.XLOOKUP(calls[[#This Row],[Customer ID]],customers[Customer ID],customers[Gender])</f>
        <v>Female</v>
      </c>
    </row>
    <row r="168" spans="2:15" x14ac:dyDescent="0.55000000000000004">
      <c r="B168" t="s">
        <v>190</v>
      </c>
      <c r="C168" t="s">
        <v>20</v>
      </c>
      <c r="D168">
        <v>11</v>
      </c>
      <c r="E168" s="16" t="s">
        <v>6</v>
      </c>
      <c r="F168" s="17">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t="str">
        <f>_xlfn.XLOOKUP(calls[[#This Row],[Customer ID]],customers[Customer ID],customers[City])</f>
        <v>Cincinnati</v>
      </c>
      <c r="N168">
        <f>_xlfn.XLOOKUP(calls[[#This Row],[Customer ID]],customers[Customer ID],customers[Age])</f>
        <v>26</v>
      </c>
      <c r="O168" t="str">
        <f>_xlfn.XLOOKUP(calls[[#This Row],[Customer ID]],customers[Customer ID],customers[Gender])</f>
        <v>Male</v>
      </c>
    </row>
    <row r="169" spans="2:15" x14ac:dyDescent="0.55000000000000004">
      <c r="B169" t="s">
        <v>191</v>
      </c>
      <c r="C169" t="s">
        <v>17</v>
      </c>
      <c r="D169">
        <v>86</v>
      </c>
      <c r="E169" s="16" t="s">
        <v>11</v>
      </c>
      <c r="F169" s="17">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t="str">
        <f>_xlfn.XLOOKUP(calls[[#This Row],[Customer ID]],customers[Customer ID],customers[City])</f>
        <v>Columbus</v>
      </c>
      <c r="N169">
        <f>_xlfn.XLOOKUP(calls[[#This Row],[Customer ID]],customers[Customer ID],customers[Age])</f>
        <v>41</v>
      </c>
      <c r="O169" t="str">
        <f>_xlfn.XLOOKUP(calls[[#This Row],[Customer ID]],customers[Customer ID],customers[Gender])</f>
        <v>Male</v>
      </c>
    </row>
    <row r="170" spans="2:15" x14ac:dyDescent="0.55000000000000004">
      <c r="B170" t="s">
        <v>192</v>
      </c>
      <c r="C170" t="s">
        <v>23</v>
      </c>
      <c r="D170">
        <v>28</v>
      </c>
      <c r="E170" s="16" t="s">
        <v>6</v>
      </c>
      <c r="F170" s="17">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t="str">
        <f>_xlfn.XLOOKUP(calls[[#This Row],[Customer ID]],customers[Customer ID],customers[City])</f>
        <v>Columbus</v>
      </c>
      <c r="N170">
        <f>_xlfn.XLOOKUP(calls[[#This Row],[Customer ID]],customers[Customer ID],customers[Age])</f>
        <v>37</v>
      </c>
      <c r="O170" t="str">
        <f>_xlfn.XLOOKUP(calls[[#This Row],[Customer ID]],customers[Customer ID],customers[Gender])</f>
        <v>Male</v>
      </c>
    </row>
    <row r="171" spans="2:15" x14ac:dyDescent="0.55000000000000004">
      <c r="B171" t="s">
        <v>193</v>
      </c>
      <c r="C171" t="s">
        <v>8</v>
      </c>
      <c r="D171">
        <v>139</v>
      </c>
      <c r="E171" s="16" t="s">
        <v>9</v>
      </c>
      <c r="F171" s="17">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t="str">
        <f>_xlfn.XLOOKUP(calls[[#This Row],[Customer ID]],customers[Customer ID],customers[City])</f>
        <v>Cincinnati</v>
      </c>
      <c r="N171">
        <f>_xlfn.XLOOKUP(calls[[#This Row],[Customer ID]],customers[Customer ID],customers[Age])</f>
        <v>30</v>
      </c>
      <c r="O171" t="str">
        <f>_xlfn.XLOOKUP(calls[[#This Row],[Customer ID]],customers[Customer ID],customers[Gender])</f>
        <v>Female</v>
      </c>
    </row>
    <row r="172" spans="2:15" x14ac:dyDescent="0.55000000000000004">
      <c r="B172" t="s">
        <v>194</v>
      </c>
      <c r="C172" t="s">
        <v>7</v>
      </c>
      <c r="D172">
        <v>82</v>
      </c>
      <c r="E172" s="16" t="s">
        <v>11</v>
      </c>
      <c r="F172" s="17">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t="str">
        <f>_xlfn.XLOOKUP(calls[[#This Row],[Customer ID]],customers[Customer ID],customers[City])</f>
        <v>Columbus</v>
      </c>
      <c r="N172">
        <f>_xlfn.XLOOKUP(calls[[#This Row],[Customer ID]],customers[Customer ID],customers[Age])</f>
        <v>23</v>
      </c>
      <c r="O172" t="str">
        <f>_xlfn.XLOOKUP(calls[[#This Row],[Customer ID]],customers[Customer ID],customers[Gender])</f>
        <v>Male</v>
      </c>
    </row>
    <row r="173" spans="2:15" x14ac:dyDescent="0.55000000000000004">
      <c r="B173" t="s">
        <v>195</v>
      </c>
      <c r="C173" t="s">
        <v>12</v>
      </c>
      <c r="D173">
        <v>101</v>
      </c>
      <c r="E173" s="16" t="s">
        <v>6</v>
      </c>
      <c r="F173" s="17">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t="str">
        <f>_xlfn.XLOOKUP(calls[[#This Row],[Customer ID]],customers[Customer ID],customers[City])</f>
        <v>Cincinnati</v>
      </c>
      <c r="N173">
        <f>_xlfn.XLOOKUP(calls[[#This Row],[Customer ID]],customers[Customer ID],customers[Age])</f>
        <v>36</v>
      </c>
      <c r="O173" t="str">
        <f>_xlfn.XLOOKUP(calls[[#This Row],[Customer ID]],customers[Customer ID],customers[Gender])</f>
        <v>Male</v>
      </c>
    </row>
    <row r="174" spans="2:15" x14ac:dyDescent="0.55000000000000004">
      <c r="B174" t="s">
        <v>196</v>
      </c>
      <c r="C174" t="s">
        <v>23</v>
      </c>
      <c r="D174">
        <v>75</v>
      </c>
      <c r="E174" s="16" t="s">
        <v>13</v>
      </c>
      <c r="F174" s="17">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t="str">
        <f>_xlfn.XLOOKUP(calls[[#This Row],[Customer ID]],customers[Customer ID],customers[City])</f>
        <v>Columbus</v>
      </c>
      <c r="N174">
        <f>_xlfn.XLOOKUP(calls[[#This Row],[Customer ID]],customers[Customer ID],customers[Age])</f>
        <v>37</v>
      </c>
      <c r="O174" t="str">
        <f>_xlfn.XLOOKUP(calls[[#This Row],[Customer ID]],customers[Customer ID],customers[Gender])</f>
        <v>Male</v>
      </c>
    </row>
    <row r="175" spans="2:15" x14ac:dyDescent="0.55000000000000004">
      <c r="B175" t="s">
        <v>197</v>
      </c>
      <c r="C175" t="s">
        <v>18</v>
      </c>
      <c r="D175">
        <v>40</v>
      </c>
      <c r="E175" s="16" t="s">
        <v>6</v>
      </c>
      <c r="F175" s="17">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t="str">
        <f>_xlfn.XLOOKUP(calls[[#This Row],[Customer ID]],customers[Customer ID],customers[City])</f>
        <v>Cleveland</v>
      </c>
      <c r="N175">
        <f>_xlfn.XLOOKUP(calls[[#This Row],[Customer ID]],customers[Customer ID],customers[Age])</f>
        <v>30</v>
      </c>
      <c r="O175" t="str">
        <f>_xlfn.XLOOKUP(calls[[#This Row],[Customer ID]],customers[Customer ID],customers[Gender])</f>
        <v>Female</v>
      </c>
    </row>
    <row r="176" spans="2:15" x14ac:dyDescent="0.55000000000000004">
      <c r="B176" t="s">
        <v>198</v>
      </c>
      <c r="C176" t="s">
        <v>24</v>
      </c>
      <c r="D176">
        <v>86</v>
      </c>
      <c r="E176" s="16" t="s">
        <v>9</v>
      </c>
      <c r="F176" s="17">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t="str">
        <f>_xlfn.XLOOKUP(calls[[#This Row],[Customer ID]],customers[Customer ID],customers[City])</f>
        <v>Cleveland</v>
      </c>
      <c r="N176">
        <f>_xlfn.XLOOKUP(calls[[#This Row],[Customer ID]],customers[Customer ID],customers[Age])</f>
        <v>31</v>
      </c>
      <c r="O176" t="str">
        <f>_xlfn.XLOOKUP(calls[[#This Row],[Customer ID]],customers[Customer ID],customers[Gender])</f>
        <v>Male</v>
      </c>
    </row>
    <row r="177" spans="2:15" x14ac:dyDescent="0.55000000000000004">
      <c r="B177" t="s">
        <v>199</v>
      </c>
      <c r="C177" t="s">
        <v>15</v>
      </c>
      <c r="D177">
        <v>131</v>
      </c>
      <c r="E177" s="16" t="s">
        <v>10</v>
      </c>
      <c r="F177" s="17">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t="str">
        <f>_xlfn.XLOOKUP(calls[[#This Row],[Customer ID]],customers[Customer ID],customers[City])</f>
        <v>Cleveland</v>
      </c>
      <c r="N177">
        <f>_xlfn.XLOOKUP(calls[[#This Row],[Customer ID]],customers[Customer ID],customers[Age])</f>
        <v>22</v>
      </c>
      <c r="O177" t="str">
        <f>_xlfn.XLOOKUP(calls[[#This Row],[Customer ID]],customers[Customer ID],customers[Gender])</f>
        <v>Female</v>
      </c>
    </row>
    <row r="178" spans="2:15" x14ac:dyDescent="0.55000000000000004">
      <c r="B178" t="s">
        <v>200</v>
      </c>
      <c r="C178" t="s">
        <v>16</v>
      </c>
      <c r="D178">
        <v>67</v>
      </c>
      <c r="E178" s="16" t="s">
        <v>11</v>
      </c>
      <c r="F178" s="17">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t="str">
        <f>_xlfn.XLOOKUP(calls[[#This Row],[Customer ID]],customers[Customer ID],customers[City])</f>
        <v>Cincinnati</v>
      </c>
      <c r="N178">
        <f>_xlfn.XLOOKUP(calls[[#This Row],[Customer ID]],customers[Customer ID],customers[Age])</f>
        <v>28</v>
      </c>
      <c r="O178" t="str">
        <f>_xlfn.XLOOKUP(calls[[#This Row],[Customer ID]],customers[Customer ID],customers[Gender])</f>
        <v>Female</v>
      </c>
    </row>
    <row r="179" spans="2:15" x14ac:dyDescent="0.55000000000000004">
      <c r="B179" t="s">
        <v>201</v>
      </c>
      <c r="C179" t="s">
        <v>5</v>
      </c>
      <c r="D179">
        <v>71</v>
      </c>
      <c r="E179" s="16" t="s">
        <v>6</v>
      </c>
      <c r="F179" s="17">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t="str">
        <f>_xlfn.XLOOKUP(calls[[#This Row],[Customer ID]],customers[Customer ID],customers[City])</f>
        <v>Cleveland</v>
      </c>
      <c r="N179">
        <f>_xlfn.XLOOKUP(calls[[#This Row],[Customer ID]],customers[Customer ID],customers[Age])</f>
        <v>42</v>
      </c>
      <c r="O179" t="str">
        <f>_xlfn.XLOOKUP(calls[[#This Row],[Customer ID]],customers[Customer ID],customers[Gender])</f>
        <v>Female</v>
      </c>
    </row>
    <row r="180" spans="2:15" x14ac:dyDescent="0.55000000000000004">
      <c r="B180" t="s">
        <v>202</v>
      </c>
      <c r="C180" t="s">
        <v>15</v>
      </c>
      <c r="D180">
        <v>113</v>
      </c>
      <c r="E180" s="16" t="s">
        <v>10</v>
      </c>
      <c r="F180" s="17">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t="str">
        <f>_xlfn.XLOOKUP(calls[[#This Row],[Customer ID]],customers[Customer ID],customers[City])</f>
        <v>Cleveland</v>
      </c>
      <c r="N180">
        <f>_xlfn.XLOOKUP(calls[[#This Row],[Customer ID]],customers[Customer ID],customers[Age])</f>
        <v>22</v>
      </c>
      <c r="O180" t="str">
        <f>_xlfn.XLOOKUP(calls[[#This Row],[Customer ID]],customers[Customer ID],customers[Gender])</f>
        <v>Female</v>
      </c>
    </row>
    <row r="181" spans="2:15" x14ac:dyDescent="0.55000000000000004">
      <c r="B181" t="s">
        <v>203</v>
      </c>
      <c r="C181" t="s">
        <v>7</v>
      </c>
      <c r="D181">
        <v>53</v>
      </c>
      <c r="E181" s="16" t="s">
        <v>9</v>
      </c>
      <c r="F181" s="17">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t="str">
        <f>_xlfn.XLOOKUP(calls[[#This Row],[Customer ID]],customers[Customer ID],customers[City])</f>
        <v>Columbus</v>
      </c>
      <c r="N181">
        <f>_xlfn.XLOOKUP(calls[[#This Row],[Customer ID]],customers[Customer ID],customers[Age])</f>
        <v>23</v>
      </c>
      <c r="O181" t="str">
        <f>_xlfn.XLOOKUP(calls[[#This Row],[Customer ID]],customers[Customer ID],customers[Gender])</f>
        <v>Male</v>
      </c>
    </row>
    <row r="182" spans="2:15" x14ac:dyDescent="0.55000000000000004">
      <c r="B182" t="s">
        <v>204</v>
      </c>
      <c r="C182" t="s">
        <v>15</v>
      </c>
      <c r="D182">
        <v>153</v>
      </c>
      <c r="E182" s="16" t="s">
        <v>11</v>
      </c>
      <c r="F182" s="17">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t="str">
        <f>_xlfn.XLOOKUP(calls[[#This Row],[Customer ID]],customers[Customer ID],customers[City])</f>
        <v>Cleveland</v>
      </c>
      <c r="N182">
        <f>_xlfn.XLOOKUP(calls[[#This Row],[Customer ID]],customers[Customer ID],customers[Age])</f>
        <v>22</v>
      </c>
      <c r="O182" t="str">
        <f>_xlfn.XLOOKUP(calls[[#This Row],[Customer ID]],customers[Customer ID],customers[Gender])</f>
        <v>Female</v>
      </c>
    </row>
    <row r="183" spans="2:15" x14ac:dyDescent="0.55000000000000004">
      <c r="B183" t="s">
        <v>205</v>
      </c>
      <c r="C183" t="s">
        <v>16</v>
      </c>
      <c r="D183">
        <v>73</v>
      </c>
      <c r="E183" s="16" t="s">
        <v>13</v>
      </c>
      <c r="F183" s="17">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t="str">
        <f>_xlfn.XLOOKUP(calls[[#This Row],[Customer ID]],customers[Customer ID],customers[City])</f>
        <v>Cincinnati</v>
      </c>
      <c r="N183">
        <f>_xlfn.XLOOKUP(calls[[#This Row],[Customer ID]],customers[Customer ID],customers[Age])</f>
        <v>28</v>
      </c>
      <c r="O183" t="str">
        <f>_xlfn.XLOOKUP(calls[[#This Row],[Customer ID]],customers[Customer ID],customers[Gender])</f>
        <v>Female</v>
      </c>
    </row>
    <row r="184" spans="2:15" x14ac:dyDescent="0.55000000000000004">
      <c r="B184" t="s">
        <v>206</v>
      </c>
      <c r="C184" t="s">
        <v>22</v>
      </c>
      <c r="D184">
        <v>62</v>
      </c>
      <c r="E184" s="16" t="s">
        <v>13</v>
      </c>
      <c r="F184" s="17">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t="str">
        <f>_xlfn.XLOOKUP(calls[[#This Row],[Customer ID]],customers[Customer ID],customers[City])</f>
        <v>Columbus</v>
      </c>
      <c r="N184">
        <f>_xlfn.XLOOKUP(calls[[#This Row],[Customer ID]],customers[Customer ID],customers[Age])</f>
        <v>25</v>
      </c>
      <c r="O184" t="str">
        <f>_xlfn.XLOOKUP(calls[[#This Row],[Customer ID]],customers[Customer ID],customers[Gender])</f>
        <v>Female</v>
      </c>
    </row>
    <row r="185" spans="2:15" x14ac:dyDescent="0.55000000000000004">
      <c r="B185" t="s">
        <v>207</v>
      </c>
      <c r="C185" t="s">
        <v>8</v>
      </c>
      <c r="D185">
        <v>115</v>
      </c>
      <c r="E185" s="16" t="s">
        <v>9</v>
      </c>
      <c r="F185" s="17">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t="str">
        <f>_xlfn.XLOOKUP(calls[[#This Row],[Customer ID]],customers[Customer ID],customers[City])</f>
        <v>Cincinnati</v>
      </c>
      <c r="N185">
        <f>_xlfn.XLOOKUP(calls[[#This Row],[Customer ID]],customers[Customer ID],customers[Age])</f>
        <v>30</v>
      </c>
      <c r="O185" t="str">
        <f>_xlfn.XLOOKUP(calls[[#This Row],[Customer ID]],customers[Customer ID],customers[Gender])</f>
        <v>Female</v>
      </c>
    </row>
    <row r="186" spans="2:15" x14ac:dyDescent="0.55000000000000004">
      <c r="B186" t="s">
        <v>208</v>
      </c>
      <c r="C186" t="s">
        <v>15</v>
      </c>
      <c r="D186">
        <v>69</v>
      </c>
      <c r="E186" s="16" t="s">
        <v>9</v>
      </c>
      <c r="F186" s="17">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t="str">
        <f>_xlfn.XLOOKUP(calls[[#This Row],[Customer ID]],customers[Customer ID],customers[City])</f>
        <v>Cleveland</v>
      </c>
      <c r="N186">
        <f>_xlfn.XLOOKUP(calls[[#This Row],[Customer ID]],customers[Customer ID],customers[Age])</f>
        <v>22</v>
      </c>
      <c r="O186" t="str">
        <f>_xlfn.XLOOKUP(calls[[#This Row],[Customer ID]],customers[Customer ID],customers[Gender])</f>
        <v>Female</v>
      </c>
    </row>
    <row r="187" spans="2:15" x14ac:dyDescent="0.55000000000000004">
      <c r="B187" t="s">
        <v>209</v>
      </c>
      <c r="C187" t="s">
        <v>24</v>
      </c>
      <c r="D187">
        <v>103</v>
      </c>
      <c r="E187" s="16" t="s">
        <v>10</v>
      </c>
      <c r="F187" s="17">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t="str">
        <f>_xlfn.XLOOKUP(calls[[#This Row],[Customer ID]],customers[Customer ID],customers[City])</f>
        <v>Cleveland</v>
      </c>
      <c r="N187">
        <f>_xlfn.XLOOKUP(calls[[#This Row],[Customer ID]],customers[Customer ID],customers[Age])</f>
        <v>31</v>
      </c>
      <c r="O187" t="str">
        <f>_xlfn.XLOOKUP(calls[[#This Row],[Customer ID]],customers[Customer ID],customers[Gender])</f>
        <v>Male</v>
      </c>
    </row>
    <row r="188" spans="2:15" x14ac:dyDescent="0.55000000000000004">
      <c r="B188" t="s">
        <v>210</v>
      </c>
      <c r="C188" t="s">
        <v>24</v>
      </c>
      <c r="D188">
        <v>75</v>
      </c>
      <c r="E188" s="16" t="s">
        <v>10</v>
      </c>
      <c r="F188" s="17">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t="str">
        <f>_xlfn.XLOOKUP(calls[[#This Row],[Customer ID]],customers[Customer ID],customers[City])</f>
        <v>Cleveland</v>
      </c>
      <c r="N188">
        <f>_xlfn.XLOOKUP(calls[[#This Row],[Customer ID]],customers[Customer ID],customers[Age])</f>
        <v>31</v>
      </c>
      <c r="O188" t="str">
        <f>_xlfn.XLOOKUP(calls[[#This Row],[Customer ID]],customers[Customer ID],customers[Gender])</f>
        <v>Male</v>
      </c>
    </row>
    <row r="189" spans="2:15" x14ac:dyDescent="0.55000000000000004">
      <c r="B189" t="s">
        <v>211</v>
      </c>
      <c r="C189" t="s">
        <v>14</v>
      </c>
      <c r="D189">
        <v>92</v>
      </c>
      <c r="E189" s="16" t="s">
        <v>10</v>
      </c>
      <c r="F189" s="17">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t="str">
        <f>_xlfn.XLOOKUP(calls[[#This Row],[Customer ID]],customers[Customer ID],customers[City])</f>
        <v>Cleveland</v>
      </c>
      <c r="N189">
        <f>_xlfn.XLOOKUP(calls[[#This Row],[Customer ID]],customers[Customer ID],customers[Age])</f>
        <v>37</v>
      </c>
      <c r="O189" t="str">
        <f>_xlfn.XLOOKUP(calls[[#This Row],[Customer ID]],customers[Customer ID],customers[Gender])</f>
        <v>Female</v>
      </c>
    </row>
    <row r="190" spans="2:15" x14ac:dyDescent="0.55000000000000004">
      <c r="B190" t="s">
        <v>212</v>
      </c>
      <c r="C190" t="s">
        <v>14</v>
      </c>
      <c r="D190">
        <v>41</v>
      </c>
      <c r="E190" s="16" t="s">
        <v>13</v>
      </c>
      <c r="F190" s="17">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t="str">
        <f>_xlfn.XLOOKUP(calls[[#This Row],[Customer ID]],customers[Customer ID],customers[City])</f>
        <v>Cleveland</v>
      </c>
      <c r="N190">
        <f>_xlfn.XLOOKUP(calls[[#This Row],[Customer ID]],customers[Customer ID],customers[Age])</f>
        <v>37</v>
      </c>
      <c r="O190" t="str">
        <f>_xlfn.XLOOKUP(calls[[#This Row],[Customer ID]],customers[Customer ID],customers[Gender])</f>
        <v>Female</v>
      </c>
    </row>
    <row r="191" spans="2:15" x14ac:dyDescent="0.55000000000000004">
      <c r="B191" t="s">
        <v>213</v>
      </c>
      <c r="C191" t="s">
        <v>24</v>
      </c>
      <c r="D191">
        <v>134</v>
      </c>
      <c r="E191" s="16" t="s">
        <v>11</v>
      </c>
      <c r="F191" s="17">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t="str">
        <f>_xlfn.XLOOKUP(calls[[#This Row],[Customer ID]],customers[Customer ID],customers[City])</f>
        <v>Cleveland</v>
      </c>
      <c r="N191">
        <f>_xlfn.XLOOKUP(calls[[#This Row],[Customer ID]],customers[Customer ID],customers[Age])</f>
        <v>31</v>
      </c>
      <c r="O191" t="str">
        <f>_xlfn.XLOOKUP(calls[[#This Row],[Customer ID]],customers[Customer ID],customers[Gender])</f>
        <v>Male</v>
      </c>
    </row>
    <row r="192" spans="2:15" x14ac:dyDescent="0.55000000000000004">
      <c r="B192" t="s">
        <v>214</v>
      </c>
      <c r="C192" t="s">
        <v>17</v>
      </c>
      <c r="D192">
        <v>80</v>
      </c>
      <c r="E192" s="16" t="s">
        <v>6</v>
      </c>
      <c r="F192" s="17">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t="str">
        <f>_xlfn.XLOOKUP(calls[[#This Row],[Customer ID]],customers[Customer ID],customers[City])</f>
        <v>Columbus</v>
      </c>
      <c r="N192">
        <f>_xlfn.XLOOKUP(calls[[#This Row],[Customer ID]],customers[Customer ID],customers[Age])</f>
        <v>41</v>
      </c>
      <c r="O192" t="str">
        <f>_xlfn.XLOOKUP(calls[[#This Row],[Customer ID]],customers[Customer ID],customers[Gender])</f>
        <v>Male</v>
      </c>
    </row>
    <row r="193" spans="2:15" x14ac:dyDescent="0.55000000000000004">
      <c r="B193" t="s">
        <v>215</v>
      </c>
      <c r="C193" t="s">
        <v>5</v>
      </c>
      <c r="D193">
        <v>103</v>
      </c>
      <c r="E193" s="16" t="s">
        <v>9</v>
      </c>
      <c r="F193" s="17">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t="str">
        <f>_xlfn.XLOOKUP(calls[[#This Row],[Customer ID]],customers[Customer ID],customers[City])</f>
        <v>Cleveland</v>
      </c>
      <c r="N193">
        <f>_xlfn.XLOOKUP(calls[[#This Row],[Customer ID]],customers[Customer ID],customers[Age])</f>
        <v>42</v>
      </c>
      <c r="O193" t="str">
        <f>_xlfn.XLOOKUP(calls[[#This Row],[Customer ID]],customers[Customer ID],customers[Gender])</f>
        <v>Female</v>
      </c>
    </row>
    <row r="194" spans="2:15" x14ac:dyDescent="0.55000000000000004">
      <c r="B194" t="s">
        <v>216</v>
      </c>
      <c r="C194" t="s">
        <v>7</v>
      </c>
      <c r="D194">
        <v>20</v>
      </c>
      <c r="E194" s="16" t="s">
        <v>10</v>
      </c>
      <c r="F194" s="17">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t="str">
        <f>_xlfn.XLOOKUP(calls[[#This Row],[Customer ID]],customers[Customer ID],customers[City])</f>
        <v>Columbus</v>
      </c>
      <c r="N194">
        <f>_xlfn.XLOOKUP(calls[[#This Row],[Customer ID]],customers[Customer ID],customers[Age])</f>
        <v>23</v>
      </c>
      <c r="O194" t="str">
        <f>_xlfn.XLOOKUP(calls[[#This Row],[Customer ID]],customers[Customer ID],customers[Gender])</f>
        <v>Male</v>
      </c>
    </row>
    <row r="195" spans="2:15" x14ac:dyDescent="0.55000000000000004">
      <c r="B195" t="s">
        <v>217</v>
      </c>
      <c r="C195" t="s">
        <v>5</v>
      </c>
      <c r="D195">
        <v>75</v>
      </c>
      <c r="E195" s="16" t="s">
        <v>6</v>
      </c>
      <c r="F195" s="17">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t="str">
        <f>_xlfn.XLOOKUP(calls[[#This Row],[Customer ID]],customers[Customer ID],customers[City])</f>
        <v>Cleveland</v>
      </c>
      <c r="N195">
        <f>_xlfn.XLOOKUP(calls[[#This Row],[Customer ID]],customers[Customer ID],customers[Age])</f>
        <v>42</v>
      </c>
      <c r="O195" t="str">
        <f>_xlfn.XLOOKUP(calls[[#This Row],[Customer ID]],customers[Customer ID],customers[Gender])</f>
        <v>Female</v>
      </c>
    </row>
    <row r="196" spans="2:15" x14ac:dyDescent="0.55000000000000004">
      <c r="B196" t="s">
        <v>218</v>
      </c>
      <c r="C196" t="s">
        <v>14</v>
      </c>
      <c r="D196">
        <v>80</v>
      </c>
      <c r="E196" s="16" t="s">
        <v>11</v>
      </c>
      <c r="F196" s="17">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t="str">
        <f>_xlfn.XLOOKUP(calls[[#This Row],[Customer ID]],customers[Customer ID],customers[City])</f>
        <v>Cleveland</v>
      </c>
      <c r="N196">
        <f>_xlfn.XLOOKUP(calls[[#This Row],[Customer ID]],customers[Customer ID],customers[Age])</f>
        <v>37</v>
      </c>
      <c r="O196" t="str">
        <f>_xlfn.XLOOKUP(calls[[#This Row],[Customer ID]],customers[Customer ID],customers[Gender])</f>
        <v>Female</v>
      </c>
    </row>
    <row r="197" spans="2:15" x14ac:dyDescent="0.55000000000000004">
      <c r="B197" t="s">
        <v>219</v>
      </c>
      <c r="C197" t="s">
        <v>15</v>
      </c>
      <c r="D197">
        <v>85</v>
      </c>
      <c r="E197" s="16" t="s">
        <v>13</v>
      </c>
      <c r="F197" s="17">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t="str">
        <f>_xlfn.XLOOKUP(calls[[#This Row],[Customer ID]],customers[Customer ID],customers[City])</f>
        <v>Cleveland</v>
      </c>
      <c r="N197">
        <f>_xlfn.XLOOKUP(calls[[#This Row],[Customer ID]],customers[Customer ID],customers[Age])</f>
        <v>22</v>
      </c>
      <c r="O197" t="str">
        <f>_xlfn.XLOOKUP(calls[[#This Row],[Customer ID]],customers[Customer ID],customers[Gender])</f>
        <v>Female</v>
      </c>
    </row>
    <row r="198" spans="2:15" x14ac:dyDescent="0.55000000000000004">
      <c r="B198" t="s">
        <v>220</v>
      </c>
      <c r="C198" t="s">
        <v>12</v>
      </c>
      <c r="D198">
        <v>155</v>
      </c>
      <c r="E198" s="16" t="s">
        <v>10</v>
      </c>
      <c r="F198" s="17">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t="str">
        <f>_xlfn.XLOOKUP(calls[[#This Row],[Customer ID]],customers[Customer ID],customers[City])</f>
        <v>Cincinnati</v>
      </c>
      <c r="N198">
        <f>_xlfn.XLOOKUP(calls[[#This Row],[Customer ID]],customers[Customer ID],customers[Age])</f>
        <v>36</v>
      </c>
      <c r="O198" t="str">
        <f>_xlfn.XLOOKUP(calls[[#This Row],[Customer ID]],customers[Customer ID],customers[Gender])</f>
        <v>Male</v>
      </c>
    </row>
    <row r="199" spans="2:15" x14ac:dyDescent="0.55000000000000004">
      <c r="B199" t="s">
        <v>221</v>
      </c>
      <c r="C199" t="s">
        <v>15</v>
      </c>
      <c r="D199">
        <v>63</v>
      </c>
      <c r="E199" s="16" t="s">
        <v>13</v>
      </c>
      <c r="F199" s="17">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t="str">
        <f>_xlfn.XLOOKUP(calls[[#This Row],[Customer ID]],customers[Customer ID],customers[City])</f>
        <v>Cleveland</v>
      </c>
      <c r="N199">
        <f>_xlfn.XLOOKUP(calls[[#This Row],[Customer ID]],customers[Customer ID],customers[Age])</f>
        <v>22</v>
      </c>
      <c r="O199" t="str">
        <f>_xlfn.XLOOKUP(calls[[#This Row],[Customer ID]],customers[Customer ID],customers[Gender])</f>
        <v>Female</v>
      </c>
    </row>
    <row r="200" spans="2:15" x14ac:dyDescent="0.55000000000000004">
      <c r="B200" t="s">
        <v>222</v>
      </c>
      <c r="C200" t="s">
        <v>23</v>
      </c>
      <c r="D200">
        <v>105</v>
      </c>
      <c r="E200" s="16" t="s">
        <v>9</v>
      </c>
      <c r="F200" s="17">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t="str">
        <f>_xlfn.XLOOKUP(calls[[#This Row],[Customer ID]],customers[Customer ID],customers[City])</f>
        <v>Columbus</v>
      </c>
      <c r="N200">
        <f>_xlfn.XLOOKUP(calls[[#This Row],[Customer ID]],customers[Customer ID],customers[Age])</f>
        <v>37</v>
      </c>
      <c r="O200" t="str">
        <f>_xlfn.XLOOKUP(calls[[#This Row],[Customer ID]],customers[Customer ID],customers[Gender])</f>
        <v>Male</v>
      </c>
    </row>
    <row r="201" spans="2:15" x14ac:dyDescent="0.55000000000000004">
      <c r="B201" t="s">
        <v>223</v>
      </c>
      <c r="C201" t="s">
        <v>15</v>
      </c>
      <c r="D201">
        <v>71</v>
      </c>
      <c r="E201" s="16" t="s">
        <v>13</v>
      </c>
      <c r="F201" s="17">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t="str">
        <f>_xlfn.XLOOKUP(calls[[#This Row],[Customer ID]],customers[Customer ID],customers[City])</f>
        <v>Cleveland</v>
      </c>
      <c r="N201">
        <f>_xlfn.XLOOKUP(calls[[#This Row],[Customer ID]],customers[Customer ID],customers[Age])</f>
        <v>22</v>
      </c>
      <c r="O201" t="str">
        <f>_xlfn.XLOOKUP(calls[[#This Row],[Customer ID]],customers[Customer ID],customers[Gender])</f>
        <v>Female</v>
      </c>
    </row>
    <row r="202" spans="2:15" x14ac:dyDescent="0.55000000000000004">
      <c r="B202" t="s">
        <v>224</v>
      </c>
      <c r="C202" t="s">
        <v>12</v>
      </c>
      <c r="D202">
        <v>100</v>
      </c>
      <c r="E202" s="16" t="s">
        <v>13</v>
      </c>
      <c r="F202" s="17">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t="str">
        <f>_xlfn.XLOOKUP(calls[[#This Row],[Customer ID]],customers[Customer ID],customers[City])</f>
        <v>Cincinnati</v>
      </c>
      <c r="N202">
        <f>_xlfn.XLOOKUP(calls[[#This Row],[Customer ID]],customers[Customer ID],customers[Age])</f>
        <v>36</v>
      </c>
      <c r="O202" t="str">
        <f>_xlfn.XLOOKUP(calls[[#This Row],[Customer ID]],customers[Customer ID],customers[Gender])</f>
        <v>Male</v>
      </c>
    </row>
    <row r="203" spans="2:15" x14ac:dyDescent="0.55000000000000004">
      <c r="B203" t="s">
        <v>225</v>
      </c>
      <c r="C203" t="s">
        <v>20</v>
      </c>
      <c r="D203">
        <v>93</v>
      </c>
      <c r="E203" s="16" t="s">
        <v>11</v>
      </c>
      <c r="F203" s="17">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t="str">
        <f>_xlfn.XLOOKUP(calls[[#This Row],[Customer ID]],customers[Customer ID],customers[City])</f>
        <v>Cincinnati</v>
      </c>
      <c r="N203">
        <f>_xlfn.XLOOKUP(calls[[#This Row],[Customer ID]],customers[Customer ID],customers[Age])</f>
        <v>26</v>
      </c>
      <c r="O203" t="str">
        <f>_xlfn.XLOOKUP(calls[[#This Row],[Customer ID]],customers[Customer ID],customers[Gender])</f>
        <v>Male</v>
      </c>
    </row>
    <row r="204" spans="2:15" x14ac:dyDescent="0.55000000000000004">
      <c r="B204" t="s">
        <v>226</v>
      </c>
      <c r="C204" t="s">
        <v>23</v>
      </c>
      <c r="D204">
        <v>84</v>
      </c>
      <c r="E204" s="16" t="s">
        <v>10</v>
      </c>
      <c r="F204" s="17">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t="str">
        <f>_xlfn.XLOOKUP(calls[[#This Row],[Customer ID]],customers[Customer ID],customers[City])</f>
        <v>Columbus</v>
      </c>
      <c r="N204">
        <f>_xlfn.XLOOKUP(calls[[#This Row],[Customer ID]],customers[Customer ID],customers[Age])</f>
        <v>37</v>
      </c>
      <c r="O204" t="str">
        <f>_xlfn.XLOOKUP(calls[[#This Row],[Customer ID]],customers[Customer ID],customers[Gender])</f>
        <v>Male</v>
      </c>
    </row>
    <row r="205" spans="2:15" x14ac:dyDescent="0.55000000000000004">
      <c r="B205" t="s">
        <v>227</v>
      </c>
      <c r="C205" t="s">
        <v>17</v>
      </c>
      <c r="D205">
        <v>56</v>
      </c>
      <c r="E205" s="16" t="s">
        <v>6</v>
      </c>
      <c r="F205" s="17">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t="str">
        <f>_xlfn.XLOOKUP(calls[[#This Row],[Customer ID]],customers[Customer ID],customers[City])</f>
        <v>Columbus</v>
      </c>
      <c r="N205">
        <f>_xlfn.XLOOKUP(calls[[#This Row],[Customer ID]],customers[Customer ID],customers[Age])</f>
        <v>41</v>
      </c>
      <c r="O205" t="str">
        <f>_xlfn.XLOOKUP(calls[[#This Row],[Customer ID]],customers[Customer ID],customers[Gender])</f>
        <v>Male</v>
      </c>
    </row>
    <row r="206" spans="2:15" x14ac:dyDescent="0.55000000000000004">
      <c r="B206" t="s">
        <v>228</v>
      </c>
      <c r="C206" t="s">
        <v>17</v>
      </c>
      <c r="D206">
        <v>63</v>
      </c>
      <c r="E206" s="16" t="s">
        <v>13</v>
      </c>
      <c r="F206" s="17">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t="str">
        <f>_xlfn.XLOOKUP(calls[[#This Row],[Customer ID]],customers[Customer ID],customers[City])</f>
        <v>Columbus</v>
      </c>
      <c r="N206">
        <f>_xlfn.XLOOKUP(calls[[#This Row],[Customer ID]],customers[Customer ID],customers[Age])</f>
        <v>41</v>
      </c>
      <c r="O206" t="str">
        <f>_xlfn.XLOOKUP(calls[[#This Row],[Customer ID]],customers[Customer ID],customers[Gender])</f>
        <v>Male</v>
      </c>
    </row>
    <row r="207" spans="2:15" x14ac:dyDescent="0.55000000000000004">
      <c r="B207" t="s">
        <v>229</v>
      </c>
      <c r="C207" t="s">
        <v>22</v>
      </c>
      <c r="D207">
        <v>83</v>
      </c>
      <c r="E207" s="16" t="s">
        <v>13</v>
      </c>
      <c r="F207" s="17">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t="str">
        <f>_xlfn.XLOOKUP(calls[[#This Row],[Customer ID]],customers[Customer ID],customers[City])</f>
        <v>Columbus</v>
      </c>
      <c r="N207">
        <f>_xlfn.XLOOKUP(calls[[#This Row],[Customer ID]],customers[Customer ID],customers[Age])</f>
        <v>25</v>
      </c>
      <c r="O207" t="str">
        <f>_xlfn.XLOOKUP(calls[[#This Row],[Customer ID]],customers[Customer ID],customers[Gender])</f>
        <v>Female</v>
      </c>
    </row>
    <row r="208" spans="2:15" x14ac:dyDescent="0.55000000000000004">
      <c r="B208" t="s">
        <v>230</v>
      </c>
      <c r="C208" t="s">
        <v>14</v>
      </c>
      <c r="D208">
        <v>134</v>
      </c>
      <c r="E208" s="16" t="s">
        <v>10</v>
      </c>
      <c r="F208" s="17">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t="str">
        <f>_xlfn.XLOOKUP(calls[[#This Row],[Customer ID]],customers[Customer ID],customers[City])</f>
        <v>Cleveland</v>
      </c>
      <c r="N208">
        <f>_xlfn.XLOOKUP(calls[[#This Row],[Customer ID]],customers[Customer ID],customers[Age])</f>
        <v>37</v>
      </c>
      <c r="O208" t="str">
        <f>_xlfn.XLOOKUP(calls[[#This Row],[Customer ID]],customers[Customer ID],customers[Gender])</f>
        <v>Female</v>
      </c>
    </row>
    <row r="209" spans="2:15" x14ac:dyDescent="0.55000000000000004">
      <c r="B209" t="s">
        <v>231</v>
      </c>
      <c r="C209" t="s">
        <v>8</v>
      </c>
      <c r="D209">
        <v>73</v>
      </c>
      <c r="E209" s="16" t="s">
        <v>13</v>
      </c>
      <c r="F209" s="17">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t="str">
        <f>_xlfn.XLOOKUP(calls[[#This Row],[Customer ID]],customers[Customer ID],customers[City])</f>
        <v>Cincinnati</v>
      </c>
      <c r="N209">
        <f>_xlfn.XLOOKUP(calls[[#This Row],[Customer ID]],customers[Customer ID],customers[Age])</f>
        <v>30</v>
      </c>
      <c r="O209" t="str">
        <f>_xlfn.XLOOKUP(calls[[#This Row],[Customer ID]],customers[Customer ID],customers[Gender])</f>
        <v>Female</v>
      </c>
    </row>
    <row r="210" spans="2:15" x14ac:dyDescent="0.55000000000000004">
      <c r="B210" t="s">
        <v>232</v>
      </c>
      <c r="C210" t="s">
        <v>5</v>
      </c>
      <c r="D210">
        <v>6</v>
      </c>
      <c r="E210" s="16" t="s">
        <v>6</v>
      </c>
      <c r="F210" s="17">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t="str">
        <f>_xlfn.XLOOKUP(calls[[#This Row],[Customer ID]],customers[Customer ID],customers[City])</f>
        <v>Cleveland</v>
      </c>
      <c r="N210">
        <f>_xlfn.XLOOKUP(calls[[#This Row],[Customer ID]],customers[Customer ID],customers[Age])</f>
        <v>42</v>
      </c>
      <c r="O210" t="str">
        <f>_xlfn.XLOOKUP(calls[[#This Row],[Customer ID]],customers[Customer ID],customers[Gender])</f>
        <v>Female</v>
      </c>
    </row>
    <row r="211" spans="2:15" x14ac:dyDescent="0.55000000000000004">
      <c r="B211" t="s">
        <v>233</v>
      </c>
      <c r="C211" t="s">
        <v>16</v>
      </c>
      <c r="D211">
        <v>46</v>
      </c>
      <c r="E211" s="16" t="s">
        <v>9</v>
      </c>
      <c r="F211" s="17">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t="str">
        <f>_xlfn.XLOOKUP(calls[[#This Row],[Customer ID]],customers[Customer ID],customers[City])</f>
        <v>Cincinnati</v>
      </c>
      <c r="N211">
        <f>_xlfn.XLOOKUP(calls[[#This Row],[Customer ID]],customers[Customer ID],customers[Age])</f>
        <v>28</v>
      </c>
      <c r="O211" t="str">
        <f>_xlfn.XLOOKUP(calls[[#This Row],[Customer ID]],customers[Customer ID],customers[Gender])</f>
        <v>Female</v>
      </c>
    </row>
    <row r="212" spans="2:15" x14ac:dyDescent="0.55000000000000004">
      <c r="B212" t="s">
        <v>234</v>
      </c>
      <c r="C212" t="s">
        <v>5</v>
      </c>
      <c r="D212">
        <v>121</v>
      </c>
      <c r="E212" s="16" t="s">
        <v>13</v>
      </c>
      <c r="F212" s="17">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t="str">
        <f>_xlfn.XLOOKUP(calls[[#This Row],[Customer ID]],customers[Customer ID],customers[City])</f>
        <v>Cleveland</v>
      </c>
      <c r="N212">
        <f>_xlfn.XLOOKUP(calls[[#This Row],[Customer ID]],customers[Customer ID],customers[Age])</f>
        <v>42</v>
      </c>
      <c r="O212" t="str">
        <f>_xlfn.XLOOKUP(calls[[#This Row],[Customer ID]],customers[Customer ID],customers[Gender])</f>
        <v>Female</v>
      </c>
    </row>
    <row r="213" spans="2:15" x14ac:dyDescent="0.55000000000000004">
      <c r="B213" t="s">
        <v>235</v>
      </c>
      <c r="C213" t="s">
        <v>17</v>
      </c>
      <c r="D213">
        <v>61</v>
      </c>
      <c r="E213" s="16" t="s">
        <v>11</v>
      </c>
      <c r="F213" s="17">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t="str">
        <f>_xlfn.XLOOKUP(calls[[#This Row],[Customer ID]],customers[Customer ID],customers[City])</f>
        <v>Columbus</v>
      </c>
      <c r="N213">
        <f>_xlfn.XLOOKUP(calls[[#This Row],[Customer ID]],customers[Customer ID],customers[Age])</f>
        <v>41</v>
      </c>
      <c r="O213" t="str">
        <f>_xlfn.XLOOKUP(calls[[#This Row],[Customer ID]],customers[Customer ID],customers[Gender])</f>
        <v>Male</v>
      </c>
    </row>
    <row r="214" spans="2:15" x14ac:dyDescent="0.55000000000000004">
      <c r="B214" t="s">
        <v>236</v>
      </c>
      <c r="C214" t="s">
        <v>14</v>
      </c>
      <c r="D214">
        <v>144</v>
      </c>
      <c r="E214" s="16" t="s">
        <v>10</v>
      </c>
      <c r="F214" s="17">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t="str">
        <f>_xlfn.XLOOKUP(calls[[#This Row],[Customer ID]],customers[Customer ID],customers[City])</f>
        <v>Cleveland</v>
      </c>
      <c r="N214">
        <f>_xlfn.XLOOKUP(calls[[#This Row],[Customer ID]],customers[Customer ID],customers[Age])</f>
        <v>37</v>
      </c>
      <c r="O214" t="str">
        <f>_xlfn.XLOOKUP(calls[[#This Row],[Customer ID]],customers[Customer ID],customers[Gender])</f>
        <v>Female</v>
      </c>
    </row>
    <row r="215" spans="2:15" x14ac:dyDescent="0.55000000000000004">
      <c r="B215" t="s">
        <v>237</v>
      </c>
      <c r="C215" t="s">
        <v>16</v>
      </c>
      <c r="D215">
        <v>145</v>
      </c>
      <c r="E215" s="16" t="s">
        <v>10</v>
      </c>
      <c r="F215" s="17">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t="str">
        <f>_xlfn.XLOOKUP(calls[[#This Row],[Customer ID]],customers[Customer ID],customers[City])</f>
        <v>Cincinnati</v>
      </c>
      <c r="N215">
        <f>_xlfn.XLOOKUP(calls[[#This Row],[Customer ID]],customers[Customer ID],customers[Age])</f>
        <v>28</v>
      </c>
      <c r="O215" t="str">
        <f>_xlfn.XLOOKUP(calls[[#This Row],[Customer ID]],customers[Customer ID],customers[Gender])</f>
        <v>Female</v>
      </c>
    </row>
    <row r="216" spans="2:15" x14ac:dyDescent="0.55000000000000004">
      <c r="B216" t="s">
        <v>238</v>
      </c>
      <c r="C216" t="s">
        <v>23</v>
      </c>
      <c r="D216">
        <v>85</v>
      </c>
      <c r="E216" s="16" t="s">
        <v>6</v>
      </c>
      <c r="F216" s="17">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t="str">
        <f>_xlfn.XLOOKUP(calls[[#This Row],[Customer ID]],customers[Customer ID],customers[City])</f>
        <v>Columbus</v>
      </c>
      <c r="N216">
        <f>_xlfn.XLOOKUP(calls[[#This Row],[Customer ID]],customers[Customer ID],customers[Age])</f>
        <v>37</v>
      </c>
      <c r="O216" t="str">
        <f>_xlfn.XLOOKUP(calls[[#This Row],[Customer ID]],customers[Customer ID],customers[Gender])</f>
        <v>Male</v>
      </c>
    </row>
    <row r="217" spans="2:15" x14ac:dyDescent="0.55000000000000004">
      <c r="B217" t="s">
        <v>239</v>
      </c>
      <c r="C217" t="s">
        <v>16</v>
      </c>
      <c r="D217">
        <v>13</v>
      </c>
      <c r="E217" s="16" t="s">
        <v>11</v>
      </c>
      <c r="F217" s="17">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t="str">
        <f>_xlfn.XLOOKUP(calls[[#This Row],[Customer ID]],customers[Customer ID],customers[City])</f>
        <v>Cincinnati</v>
      </c>
      <c r="N217">
        <f>_xlfn.XLOOKUP(calls[[#This Row],[Customer ID]],customers[Customer ID],customers[Age])</f>
        <v>28</v>
      </c>
      <c r="O217" t="str">
        <f>_xlfn.XLOOKUP(calls[[#This Row],[Customer ID]],customers[Customer ID],customers[Gender])</f>
        <v>Female</v>
      </c>
    </row>
    <row r="218" spans="2:15" x14ac:dyDescent="0.55000000000000004">
      <c r="B218" t="s">
        <v>240</v>
      </c>
      <c r="C218" t="s">
        <v>20</v>
      </c>
      <c r="D218">
        <v>142</v>
      </c>
      <c r="E218" s="16" t="s">
        <v>13</v>
      </c>
      <c r="F218" s="17">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t="str">
        <f>_xlfn.XLOOKUP(calls[[#This Row],[Customer ID]],customers[Customer ID],customers[City])</f>
        <v>Cincinnati</v>
      </c>
      <c r="N218">
        <f>_xlfn.XLOOKUP(calls[[#This Row],[Customer ID]],customers[Customer ID],customers[Age])</f>
        <v>26</v>
      </c>
      <c r="O218" t="str">
        <f>_xlfn.XLOOKUP(calls[[#This Row],[Customer ID]],customers[Customer ID],customers[Gender])</f>
        <v>Male</v>
      </c>
    </row>
    <row r="219" spans="2:15" x14ac:dyDescent="0.55000000000000004">
      <c r="B219" t="s">
        <v>241</v>
      </c>
      <c r="C219" t="s">
        <v>14</v>
      </c>
      <c r="D219">
        <v>28</v>
      </c>
      <c r="E219" s="16" t="s">
        <v>9</v>
      </c>
      <c r="F219" s="17">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t="str">
        <f>_xlfn.XLOOKUP(calls[[#This Row],[Customer ID]],customers[Customer ID],customers[City])</f>
        <v>Cleveland</v>
      </c>
      <c r="N219">
        <f>_xlfn.XLOOKUP(calls[[#This Row],[Customer ID]],customers[Customer ID],customers[Age])</f>
        <v>37</v>
      </c>
      <c r="O219" t="str">
        <f>_xlfn.XLOOKUP(calls[[#This Row],[Customer ID]],customers[Customer ID],customers[Gender])</f>
        <v>Female</v>
      </c>
    </row>
    <row r="220" spans="2:15" x14ac:dyDescent="0.55000000000000004">
      <c r="B220" t="s">
        <v>242</v>
      </c>
      <c r="C220" t="s">
        <v>14</v>
      </c>
      <c r="D220">
        <v>119</v>
      </c>
      <c r="E220" s="16" t="s">
        <v>13</v>
      </c>
      <c r="F220" s="17">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t="str">
        <f>_xlfn.XLOOKUP(calls[[#This Row],[Customer ID]],customers[Customer ID],customers[City])</f>
        <v>Cleveland</v>
      </c>
      <c r="N220">
        <f>_xlfn.XLOOKUP(calls[[#This Row],[Customer ID]],customers[Customer ID],customers[Age])</f>
        <v>37</v>
      </c>
      <c r="O220" t="str">
        <f>_xlfn.XLOOKUP(calls[[#This Row],[Customer ID]],customers[Customer ID],customers[Gender])</f>
        <v>Female</v>
      </c>
    </row>
    <row r="221" spans="2:15" x14ac:dyDescent="0.55000000000000004">
      <c r="B221" t="s">
        <v>243</v>
      </c>
      <c r="C221" t="s">
        <v>5</v>
      </c>
      <c r="D221">
        <v>65</v>
      </c>
      <c r="E221" s="16" t="s">
        <v>6</v>
      </c>
      <c r="F221" s="17">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t="str">
        <f>_xlfn.XLOOKUP(calls[[#This Row],[Customer ID]],customers[Customer ID],customers[City])</f>
        <v>Cleveland</v>
      </c>
      <c r="N221">
        <f>_xlfn.XLOOKUP(calls[[#This Row],[Customer ID]],customers[Customer ID],customers[Age])</f>
        <v>42</v>
      </c>
      <c r="O221" t="str">
        <f>_xlfn.XLOOKUP(calls[[#This Row],[Customer ID]],customers[Customer ID],customers[Gender])</f>
        <v>Female</v>
      </c>
    </row>
    <row r="222" spans="2:15" x14ac:dyDescent="0.55000000000000004">
      <c r="B222" t="s">
        <v>244</v>
      </c>
      <c r="C222" t="s">
        <v>24</v>
      </c>
      <c r="D222">
        <v>68</v>
      </c>
      <c r="E222" s="16" t="s">
        <v>6</v>
      </c>
      <c r="F222" s="17">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t="str">
        <f>_xlfn.XLOOKUP(calls[[#This Row],[Customer ID]],customers[Customer ID],customers[City])</f>
        <v>Cleveland</v>
      </c>
      <c r="N222">
        <f>_xlfn.XLOOKUP(calls[[#This Row],[Customer ID]],customers[Customer ID],customers[Age])</f>
        <v>31</v>
      </c>
      <c r="O222" t="str">
        <f>_xlfn.XLOOKUP(calls[[#This Row],[Customer ID]],customers[Customer ID],customers[Gender])</f>
        <v>Male</v>
      </c>
    </row>
    <row r="223" spans="2:15" x14ac:dyDescent="0.55000000000000004">
      <c r="B223" t="s">
        <v>245</v>
      </c>
      <c r="C223" t="s">
        <v>22</v>
      </c>
      <c r="D223">
        <v>72</v>
      </c>
      <c r="E223" s="16" t="s">
        <v>9</v>
      </c>
      <c r="F223" s="17">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t="str">
        <f>_xlfn.XLOOKUP(calls[[#This Row],[Customer ID]],customers[Customer ID],customers[City])</f>
        <v>Columbus</v>
      </c>
      <c r="N223">
        <f>_xlfn.XLOOKUP(calls[[#This Row],[Customer ID]],customers[Customer ID],customers[Age])</f>
        <v>25</v>
      </c>
      <c r="O223" t="str">
        <f>_xlfn.XLOOKUP(calls[[#This Row],[Customer ID]],customers[Customer ID],customers[Gender])</f>
        <v>Female</v>
      </c>
    </row>
    <row r="224" spans="2:15" x14ac:dyDescent="0.55000000000000004">
      <c r="B224" t="s">
        <v>246</v>
      </c>
      <c r="C224" t="s">
        <v>22</v>
      </c>
      <c r="D224">
        <v>63</v>
      </c>
      <c r="E224" s="16" t="s">
        <v>10</v>
      </c>
      <c r="F224" s="17">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t="str">
        <f>_xlfn.XLOOKUP(calls[[#This Row],[Customer ID]],customers[Customer ID],customers[City])</f>
        <v>Columbus</v>
      </c>
      <c r="N224">
        <f>_xlfn.XLOOKUP(calls[[#This Row],[Customer ID]],customers[Customer ID],customers[Age])</f>
        <v>25</v>
      </c>
      <c r="O224" t="str">
        <f>_xlfn.XLOOKUP(calls[[#This Row],[Customer ID]],customers[Customer ID],customers[Gender])</f>
        <v>Female</v>
      </c>
    </row>
    <row r="225" spans="2:15" x14ac:dyDescent="0.55000000000000004">
      <c r="B225" t="s">
        <v>247</v>
      </c>
      <c r="C225" t="s">
        <v>12</v>
      </c>
      <c r="D225">
        <v>139</v>
      </c>
      <c r="E225" s="16" t="s">
        <v>13</v>
      </c>
      <c r="F225" s="17">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t="str">
        <f>_xlfn.XLOOKUP(calls[[#This Row],[Customer ID]],customers[Customer ID],customers[City])</f>
        <v>Cincinnati</v>
      </c>
      <c r="N225">
        <f>_xlfn.XLOOKUP(calls[[#This Row],[Customer ID]],customers[Customer ID],customers[Age])</f>
        <v>36</v>
      </c>
      <c r="O225" t="str">
        <f>_xlfn.XLOOKUP(calls[[#This Row],[Customer ID]],customers[Customer ID],customers[Gender])</f>
        <v>Male</v>
      </c>
    </row>
    <row r="226" spans="2:15" x14ac:dyDescent="0.55000000000000004">
      <c r="B226" t="s">
        <v>248</v>
      </c>
      <c r="C226" t="s">
        <v>14</v>
      </c>
      <c r="D226">
        <v>59</v>
      </c>
      <c r="E226" s="16" t="s">
        <v>13</v>
      </c>
      <c r="F226" s="17">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t="str">
        <f>_xlfn.XLOOKUP(calls[[#This Row],[Customer ID]],customers[Customer ID],customers[City])</f>
        <v>Cleveland</v>
      </c>
      <c r="N226">
        <f>_xlfn.XLOOKUP(calls[[#This Row],[Customer ID]],customers[Customer ID],customers[Age])</f>
        <v>37</v>
      </c>
      <c r="O226" t="str">
        <f>_xlfn.XLOOKUP(calls[[#This Row],[Customer ID]],customers[Customer ID],customers[Gender])</f>
        <v>Female</v>
      </c>
    </row>
    <row r="227" spans="2:15" x14ac:dyDescent="0.55000000000000004">
      <c r="B227" t="s">
        <v>249</v>
      </c>
      <c r="C227" t="s">
        <v>7</v>
      </c>
      <c r="D227">
        <v>138</v>
      </c>
      <c r="E227" s="16" t="s">
        <v>10</v>
      </c>
      <c r="F227" s="17">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t="str">
        <f>_xlfn.XLOOKUP(calls[[#This Row],[Customer ID]],customers[Customer ID],customers[City])</f>
        <v>Columbus</v>
      </c>
      <c r="N227">
        <f>_xlfn.XLOOKUP(calls[[#This Row],[Customer ID]],customers[Customer ID],customers[Age])</f>
        <v>23</v>
      </c>
      <c r="O227" t="str">
        <f>_xlfn.XLOOKUP(calls[[#This Row],[Customer ID]],customers[Customer ID],customers[Gender])</f>
        <v>Male</v>
      </c>
    </row>
    <row r="228" spans="2:15" x14ac:dyDescent="0.55000000000000004">
      <c r="B228" t="s">
        <v>250</v>
      </c>
      <c r="C228" t="s">
        <v>12</v>
      </c>
      <c r="D228">
        <v>47</v>
      </c>
      <c r="E228" s="16" t="s">
        <v>9</v>
      </c>
      <c r="F228" s="17">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t="str">
        <f>_xlfn.XLOOKUP(calls[[#This Row],[Customer ID]],customers[Customer ID],customers[City])</f>
        <v>Cincinnati</v>
      </c>
      <c r="N228">
        <f>_xlfn.XLOOKUP(calls[[#This Row],[Customer ID]],customers[Customer ID],customers[Age])</f>
        <v>36</v>
      </c>
      <c r="O228" t="str">
        <f>_xlfn.XLOOKUP(calls[[#This Row],[Customer ID]],customers[Customer ID],customers[Gender])</f>
        <v>Male</v>
      </c>
    </row>
    <row r="229" spans="2:15" x14ac:dyDescent="0.55000000000000004">
      <c r="B229" t="s">
        <v>251</v>
      </c>
      <c r="C229" t="s">
        <v>7</v>
      </c>
      <c r="D229">
        <v>74</v>
      </c>
      <c r="E229" s="16" t="s">
        <v>9</v>
      </c>
      <c r="F229" s="17">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t="str">
        <f>_xlfn.XLOOKUP(calls[[#This Row],[Customer ID]],customers[Customer ID],customers[City])</f>
        <v>Columbus</v>
      </c>
      <c r="N229">
        <f>_xlfn.XLOOKUP(calls[[#This Row],[Customer ID]],customers[Customer ID],customers[Age])</f>
        <v>23</v>
      </c>
      <c r="O229" t="str">
        <f>_xlfn.XLOOKUP(calls[[#This Row],[Customer ID]],customers[Customer ID],customers[Gender])</f>
        <v>Male</v>
      </c>
    </row>
    <row r="230" spans="2:15" x14ac:dyDescent="0.55000000000000004">
      <c r="B230" t="s">
        <v>252</v>
      </c>
      <c r="C230" t="s">
        <v>22</v>
      </c>
      <c r="D230">
        <v>65</v>
      </c>
      <c r="E230" s="16" t="s">
        <v>9</v>
      </c>
      <c r="F230" s="17">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t="str">
        <f>_xlfn.XLOOKUP(calls[[#This Row],[Customer ID]],customers[Customer ID],customers[City])</f>
        <v>Columbus</v>
      </c>
      <c r="N230">
        <f>_xlfn.XLOOKUP(calls[[#This Row],[Customer ID]],customers[Customer ID],customers[Age])</f>
        <v>25</v>
      </c>
      <c r="O230" t="str">
        <f>_xlfn.XLOOKUP(calls[[#This Row],[Customer ID]],customers[Customer ID],customers[Gender])</f>
        <v>Female</v>
      </c>
    </row>
    <row r="231" spans="2:15" x14ac:dyDescent="0.55000000000000004">
      <c r="B231" t="s">
        <v>253</v>
      </c>
      <c r="C231" t="s">
        <v>8</v>
      </c>
      <c r="D231">
        <v>123</v>
      </c>
      <c r="E231" s="16" t="s">
        <v>6</v>
      </c>
      <c r="F231" s="17">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t="str">
        <f>_xlfn.XLOOKUP(calls[[#This Row],[Customer ID]],customers[Customer ID],customers[City])</f>
        <v>Cincinnati</v>
      </c>
      <c r="N231">
        <f>_xlfn.XLOOKUP(calls[[#This Row],[Customer ID]],customers[Customer ID],customers[Age])</f>
        <v>30</v>
      </c>
      <c r="O231" t="str">
        <f>_xlfn.XLOOKUP(calls[[#This Row],[Customer ID]],customers[Customer ID],customers[Gender])</f>
        <v>Female</v>
      </c>
    </row>
    <row r="232" spans="2:15" x14ac:dyDescent="0.55000000000000004">
      <c r="B232" t="s">
        <v>254</v>
      </c>
      <c r="C232" t="s">
        <v>22</v>
      </c>
      <c r="D232">
        <v>90</v>
      </c>
      <c r="E232" s="16" t="s">
        <v>13</v>
      </c>
      <c r="F232" s="17">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t="str">
        <f>_xlfn.XLOOKUP(calls[[#This Row],[Customer ID]],customers[Customer ID],customers[City])</f>
        <v>Columbus</v>
      </c>
      <c r="N232">
        <f>_xlfn.XLOOKUP(calls[[#This Row],[Customer ID]],customers[Customer ID],customers[Age])</f>
        <v>25</v>
      </c>
      <c r="O232" t="str">
        <f>_xlfn.XLOOKUP(calls[[#This Row],[Customer ID]],customers[Customer ID],customers[Gender])</f>
        <v>Female</v>
      </c>
    </row>
    <row r="233" spans="2:15" x14ac:dyDescent="0.55000000000000004">
      <c r="B233" t="s">
        <v>255</v>
      </c>
      <c r="C233" t="s">
        <v>17</v>
      </c>
      <c r="D233">
        <v>127</v>
      </c>
      <c r="E233" s="16" t="s">
        <v>10</v>
      </c>
      <c r="F233" s="17">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t="str">
        <f>_xlfn.XLOOKUP(calls[[#This Row],[Customer ID]],customers[Customer ID],customers[City])</f>
        <v>Columbus</v>
      </c>
      <c r="N233">
        <f>_xlfn.XLOOKUP(calls[[#This Row],[Customer ID]],customers[Customer ID],customers[Age])</f>
        <v>41</v>
      </c>
      <c r="O233" t="str">
        <f>_xlfn.XLOOKUP(calls[[#This Row],[Customer ID]],customers[Customer ID],customers[Gender])</f>
        <v>Male</v>
      </c>
    </row>
    <row r="234" spans="2:15" x14ac:dyDescent="0.55000000000000004">
      <c r="B234" t="s">
        <v>256</v>
      </c>
      <c r="C234" t="s">
        <v>21</v>
      </c>
      <c r="D234">
        <v>60</v>
      </c>
      <c r="E234" s="16" t="s">
        <v>9</v>
      </c>
      <c r="F234" s="17">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t="str">
        <f>_xlfn.XLOOKUP(calls[[#This Row],[Customer ID]],customers[Customer ID],customers[City])</f>
        <v>Columbus</v>
      </c>
      <c r="N234">
        <f>_xlfn.XLOOKUP(calls[[#This Row],[Customer ID]],customers[Customer ID],customers[Age])</f>
        <v>38</v>
      </c>
      <c r="O234" t="str">
        <f>_xlfn.XLOOKUP(calls[[#This Row],[Customer ID]],customers[Customer ID],customers[Gender])</f>
        <v>Female</v>
      </c>
    </row>
    <row r="235" spans="2:15" x14ac:dyDescent="0.55000000000000004">
      <c r="B235" t="s">
        <v>257</v>
      </c>
      <c r="C235" t="s">
        <v>12</v>
      </c>
      <c r="D235">
        <v>94</v>
      </c>
      <c r="E235" s="16" t="s">
        <v>10</v>
      </c>
      <c r="F235" s="17">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t="str">
        <f>_xlfn.XLOOKUP(calls[[#This Row],[Customer ID]],customers[Customer ID],customers[City])</f>
        <v>Cincinnati</v>
      </c>
      <c r="N235">
        <f>_xlfn.XLOOKUP(calls[[#This Row],[Customer ID]],customers[Customer ID],customers[Age])</f>
        <v>36</v>
      </c>
      <c r="O235" t="str">
        <f>_xlfn.XLOOKUP(calls[[#This Row],[Customer ID]],customers[Customer ID],customers[Gender])</f>
        <v>Male</v>
      </c>
    </row>
    <row r="236" spans="2:15" x14ac:dyDescent="0.55000000000000004">
      <c r="B236" t="s">
        <v>258</v>
      </c>
      <c r="C236" t="s">
        <v>8</v>
      </c>
      <c r="D236">
        <v>54</v>
      </c>
      <c r="E236" s="16" t="s">
        <v>9</v>
      </c>
      <c r="F236" s="17">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t="str">
        <f>_xlfn.XLOOKUP(calls[[#This Row],[Customer ID]],customers[Customer ID],customers[City])</f>
        <v>Cincinnati</v>
      </c>
      <c r="N236">
        <f>_xlfn.XLOOKUP(calls[[#This Row],[Customer ID]],customers[Customer ID],customers[Age])</f>
        <v>30</v>
      </c>
      <c r="O236" t="str">
        <f>_xlfn.XLOOKUP(calls[[#This Row],[Customer ID]],customers[Customer ID],customers[Gender])</f>
        <v>Female</v>
      </c>
    </row>
    <row r="237" spans="2:15" x14ac:dyDescent="0.55000000000000004">
      <c r="B237" t="s">
        <v>259</v>
      </c>
      <c r="C237" t="s">
        <v>22</v>
      </c>
      <c r="D237">
        <v>104</v>
      </c>
      <c r="E237" s="16" t="s">
        <v>9</v>
      </c>
      <c r="F237" s="17">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t="str">
        <f>_xlfn.XLOOKUP(calls[[#This Row],[Customer ID]],customers[Customer ID],customers[City])</f>
        <v>Columbus</v>
      </c>
      <c r="N237">
        <f>_xlfn.XLOOKUP(calls[[#This Row],[Customer ID]],customers[Customer ID],customers[Age])</f>
        <v>25</v>
      </c>
      <c r="O237" t="str">
        <f>_xlfn.XLOOKUP(calls[[#This Row],[Customer ID]],customers[Customer ID],customers[Gender])</f>
        <v>Female</v>
      </c>
    </row>
    <row r="238" spans="2:15" x14ac:dyDescent="0.55000000000000004">
      <c r="B238" t="s">
        <v>260</v>
      </c>
      <c r="C238" t="s">
        <v>15</v>
      </c>
      <c r="D238">
        <v>100</v>
      </c>
      <c r="E238" s="16" t="s">
        <v>9</v>
      </c>
      <c r="F238" s="17">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t="str">
        <f>_xlfn.XLOOKUP(calls[[#This Row],[Customer ID]],customers[Customer ID],customers[City])</f>
        <v>Cleveland</v>
      </c>
      <c r="N238">
        <f>_xlfn.XLOOKUP(calls[[#This Row],[Customer ID]],customers[Customer ID],customers[Age])</f>
        <v>22</v>
      </c>
      <c r="O238" t="str">
        <f>_xlfn.XLOOKUP(calls[[#This Row],[Customer ID]],customers[Customer ID],customers[Gender])</f>
        <v>Female</v>
      </c>
    </row>
    <row r="239" spans="2:15" x14ac:dyDescent="0.55000000000000004">
      <c r="B239" t="s">
        <v>261</v>
      </c>
      <c r="C239" t="s">
        <v>7</v>
      </c>
      <c r="D239">
        <v>84</v>
      </c>
      <c r="E239" s="16" t="s">
        <v>9</v>
      </c>
      <c r="F239" s="17">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t="str">
        <f>_xlfn.XLOOKUP(calls[[#This Row],[Customer ID]],customers[Customer ID],customers[City])</f>
        <v>Columbus</v>
      </c>
      <c r="N239">
        <f>_xlfn.XLOOKUP(calls[[#This Row],[Customer ID]],customers[Customer ID],customers[Age])</f>
        <v>23</v>
      </c>
      <c r="O239" t="str">
        <f>_xlfn.XLOOKUP(calls[[#This Row],[Customer ID]],customers[Customer ID],customers[Gender])</f>
        <v>Male</v>
      </c>
    </row>
    <row r="240" spans="2:15" x14ac:dyDescent="0.55000000000000004">
      <c r="B240" t="s">
        <v>262</v>
      </c>
      <c r="C240" t="s">
        <v>20</v>
      </c>
      <c r="D240">
        <v>92</v>
      </c>
      <c r="E240" s="16" t="s">
        <v>11</v>
      </c>
      <c r="F240" s="17">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t="str">
        <f>_xlfn.XLOOKUP(calls[[#This Row],[Customer ID]],customers[Customer ID],customers[City])</f>
        <v>Cincinnati</v>
      </c>
      <c r="N240">
        <f>_xlfn.XLOOKUP(calls[[#This Row],[Customer ID]],customers[Customer ID],customers[Age])</f>
        <v>26</v>
      </c>
      <c r="O240" t="str">
        <f>_xlfn.XLOOKUP(calls[[#This Row],[Customer ID]],customers[Customer ID],customers[Gender])</f>
        <v>Male</v>
      </c>
    </row>
    <row r="241" spans="2:15" x14ac:dyDescent="0.55000000000000004">
      <c r="B241" t="s">
        <v>263</v>
      </c>
      <c r="C241" t="s">
        <v>18</v>
      </c>
      <c r="D241">
        <v>64</v>
      </c>
      <c r="E241" s="16" t="s">
        <v>10</v>
      </c>
      <c r="F241" s="17">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t="str">
        <f>_xlfn.XLOOKUP(calls[[#This Row],[Customer ID]],customers[Customer ID],customers[City])</f>
        <v>Cleveland</v>
      </c>
      <c r="N241">
        <f>_xlfn.XLOOKUP(calls[[#This Row],[Customer ID]],customers[Customer ID],customers[Age])</f>
        <v>30</v>
      </c>
      <c r="O241" t="str">
        <f>_xlfn.XLOOKUP(calls[[#This Row],[Customer ID]],customers[Customer ID],customers[Gender])</f>
        <v>Female</v>
      </c>
    </row>
    <row r="242" spans="2:15" x14ac:dyDescent="0.55000000000000004">
      <c r="B242" t="s">
        <v>264</v>
      </c>
      <c r="C242" t="s">
        <v>23</v>
      </c>
      <c r="D242">
        <v>89</v>
      </c>
      <c r="E242" s="16" t="s">
        <v>13</v>
      </c>
      <c r="F242" s="17">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t="str">
        <f>_xlfn.XLOOKUP(calls[[#This Row],[Customer ID]],customers[Customer ID],customers[City])</f>
        <v>Columbus</v>
      </c>
      <c r="N242">
        <f>_xlfn.XLOOKUP(calls[[#This Row],[Customer ID]],customers[Customer ID],customers[Age])</f>
        <v>37</v>
      </c>
      <c r="O242" t="str">
        <f>_xlfn.XLOOKUP(calls[[#This Row],[Customer ID]],customers[Customer ID],customers[Gender])</f>
        <v>Male</v>
      </c>
    </row>
    <row r="243" spans="2:15" x14ac:dyDescent="0.55000000000000004">
      <c r="B243" t="s">
        <v>265</v>
      </c>
      <c r="C243" t="s">
        <v>19</v>
      </c>
      <c r="D243">
        <v>40</v>
      </c>
      <c r="E243" s="16" t="s">
        <v>9</v>
      </c>
      <c r="F243" s="17">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t="str">
        <f>_xlfn.XLOOKUP(calls[[#This Row],[Customer ID]],customers[Customer ID],customers[City])</f>
        <v>Cleveland</v>
      </c>
      <c r="N243">
        <f>_xlfn.XLOOKUP(calls[[#This Row],[Customer ID]],customers[Customer ID],customers[Age])</f>
        <v>43</v>
      </c>
      <c r="O243" t="str">
        <f>_xlfn.XLOOKUP(calls[[#This Row],[Customer ID]],customers[Customer ID],customers[Gender])</f>
        <v>Female</v>
      </c>
    </row>
    <row r="244" spans="2:15" x14ac:dyDescent="0.55000000000000004">
      <c r="B244" t="s">
        <v>266</v>
      </c>
      <c r="C244" t="s">
        <v>14</v>
      </c>
      <c r="D244">
        <v>75</v>
      </c>
      <c r="E244" s="16" t="s">
        <v>6</v>
      </c>
      <c r="F244" s="17">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t="str">
        <f>_xlfn.XLOOKUP(calls[[#This Row],[Customer ID]],customers[Customer ID],customers[City])</f>
        <v>Cleveland</v>
      </c>
      <c r="N244">
        <f>_xlfn.XLOOKUP(calls[[#This Row],[Customer ID]],customers[Customer ID],customers[Age])</f>
        <v>37</v>
      </c>
      <c r="O244" t="str">
        <f>_xlfn.XLOOKUP(calls[[#This Row],[Customer ID]],customers[Customer ID],customers[Gender])</f>
        <v>Female</v>
      </c>
    </row>
    <row r="245" spans="2:15" x14ac:dyDescent="0.55000000000000004">
      <c r="B245" t="s">
        <v>267</v>
      </c>
      <c r="C245" t="s">
        <v>17</v>
      </c>
      <c r="D245">
        <v>106</v>
      </c>
      <c r="E245" s="16" t="s">
        <v>11</v>
      </c>
      <c r="F245" s="17">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t="str">
        <f>_xlfn.XLOOKUP(calls[[#This Row],[Customer ID]],customers[Customer ID],customers[City])</f>
        <v>Columbus</v>
      </c>
      <c r="N245">
        <f>_xlfn.XLOOKUP(calls[[#This Row],[Customer ID]],customers[Customer ID],customers[Age])</f>
        <v>41</v>
      </c>
      <c r="O245" t="str">
        <f>_xlfn.XLOOKUP(calls[[#This Row],[Customer ID]],customers[Customer ID],customers[Gender])</f>
        <v>Male</v>
      </c>
    </row>
    <row r="246" spans="2:15" x14ac:dyDescent="0.55000000000000004">
      <c r="B246" t="s">
        <v>268</v>
      </c>
      <c r="C246" t="s">
        <v>18</v>
      </c>
      <c r="D246">
        <v>58</v>
      </c>
      <c r="E246" s="16" t="s">
        <v>9</v>
      </c>
      <c r="F246" s="17">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t="str">
        <f>_xlfn.XLOOKUP(calls[[#This Row],[Customer ID]],customers[Customer ID],customers[City])</f>
        <v>Cleveland</v>
      </c>
      <c r="N246">
        <f>_xlfn.XLOOKUP(calls[[#This Row],[Customer ID]],customers[Customer ID],customers[Age])</f>
        <v>30</v>
      </c>
      <c r="O246" t="str">
        <f>_xlfn.XLOOKUP(calls[[#This Row],[Customer ID]],customers[Customer ID],customers[Gender])</f>
        <v>Female</v>
      </c>
    </row>
    <row r="247" spans="2:15" x14ac:dyDescent="0.55000000000000004">
      <c r="B247" t="s">
        <v>269</v>
      </c>
      <c r="C247" t="s">
        <v>7</v>
      </c>
      <c r="D247">
        <v>84</v>
      </c>
      <c r="E247" s="16" t="s">
        <v>11</v>
      </c>
      <c r="F247" s="17">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t="str">
        <f>_xlfn.XLOOKUP(calls[[#This Row],[Customer ID]],customers[Customer ID],customers[City])</f>
        <v>Columbus</v>
      </c>
      <c r="N247">
        <f>_xlfn.XLOOKUP(calls[[#This Row],[Customer ID]],customers[Customer ID],customers[Age])</f>
        <v>23</v>
      </c>
      <c r="O247" t="str">
        <f>_xlfn.XLOOKUP(calls[[#This Row],[Customer ID]],customers[Customer ID],customers[Gender])</f>
        <v>Male</v>
      </c>
    </row>
    <row r="248" spans="2:15" x14ac:dyDescent="0.55000000000000004">
      <c r="B248" t="s">
        <v>270</v>
      </c>
      <c r="C248" t="s">
        <v>22</v>
      </c>
      <c r="D248">
        <v>140</v>
      </c>
      <c r="E248" s="16" t="s">
        <v>11</v>
      </c>
      <c r="F248" s="17">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t="str">
        <f>_xlfn.XLOOKUP(calls[[#This Row],[Customer ID]],customers[Customer ID],customers[City])</f>
        <v>Columbus</v>
      </c>
      <c r="N248">
        <f>_xlfn.XLOOKUP(calls[[#This Row],[Customer ID]],customers[Customer ID],customers[Age])</f>
        <v>25</v>
      </c>
      <c r="O248" t="str">
        <f>_xlfn.XLOOKUP(calls[[#This Row],[Customer ID]],customers[Customer ID],customers[Gender])</f>
        <v>Female</v>
      </c>
    </row>
    <row r="249" spans="2:15" x14ac:dyDescent="0.55000000000000004">
      <c r="B249" t="s">
        <v>271</v>
      </c>
      <c r="C249" t="s">
        <v>18</v>
      </c>
      <c r="D249">
        <v>67</v>
      </c>
      <c r="E249" s="16" t="s">
        <v>11</v>
      </c>
      <c r="F249" s="17">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t="str">
        <f>_xlfn.XLOOKUP(calls[[#This Row],[Customer ID]],customers[Customer ID],customers[City])</f>
        <v>Cleveland</v>
      </c>
      <c r="N249">
        <f>_xlfn.XLOOKUP(calls[[#This Row],[Customer ID]],customers[Customer ID],customers[Age])</f>
        <v>30</v>
      </c>
      <c r="O249" t="str">
        <f>_xlfn.XLOOKUP(calls[[#This Row],[Customer ID]],customers[Customer ID],customers[Gender])</f>
        <v>Female</v>
      </c>
    </row>
    <row r="250" spans="2:15" x14ac:dyDescent="0.55000000000000004">
      <c r="B250" t="s">
        <v>272</v>
      </c>
      <c r="C250" t="s">
        <v>12</v>
      </c>
      <c r="D250">
        <v>126</v>
      </c>
      <c r="E250" s="16" t="s">
        <v>11</v>
      </c>
      <c r="F250" s="17">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t="str">
        <f>_xlfn.XLOOKUP(calls[[#This Row],[Customer ID]],customers[Customer ID],customers[City])</f>
        <v>Cincinnati</v>
      </c>
      <c r="N250">
        <f>_xlfn.XLOOKUP(calls[[#This Row],[Customer ID]],customers[Customer ID],customers[Age])</f>
        <v>36</v>
      </c>
      <c r="O250" t="str">
        <f>_xlfn.XLOOKUP(calls[[#This Row],[Customer ID]],customers[Customer ID],customers[Gender])</f>
        <v>Male</v>
      </c>
    </row>
    <row r="251" spans="2:15" x14ac:dyDescent="0.55000000000000004">
      <c r="B251" t="s">
        <v>273</v>
      </c>
      <c r="C251" t="s">
        <v>12</v>
      </c>
      <c r="D251">
        <v>89</v>
      </c>
      <c r="E251" s="16" t="s">
        <v>9</v>
      </c>
      <c r="F251" s="17">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t="str">
        <f>_xlfn.XLOOKUP(calls[[#This Row],[Customer ID]],customers[Customer ID],customers[City])</f>
        <v>Cincinnati</v>
      </c>
      <c r="N251">
        <f>_xlfn.XLOOKUP(calls[[#This Row],[Customer ID]],customers[Customer ID],customers[Age])</f>
        <v>36</v>
      </c>
      <c r="O251" t="str">
        <f>_xlfn.XLOOKUP(calls[[#This Row],[Customer ID]],customers[Customer ID],customers[Gender])</f>
        <v>Male</v>
      </c>
    </row>
    <row r="252" spans="2:15" x14ac:dyDescent="0.55000000000000004">
      <c r="B252" t="s">
        <v>274</v>
      </c>
      <c r="C252" t="s">
        <v>23</v>
      </c>
      <c r="D252">
        <v>56</v>
      </c>
      <c r="E252" s="16" t="s">
        <v>10</v>
      </c>
      <c r="F252" s="17">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t="str">
        <f>_xlfn.XLOOKUP(calls[[#This Row],[Customer ID]],customers[Customer ID],customers[City])</f>
        <v>Columbus</v>
      </c>
      <c r="N252">
        <f>_xlfn.XLOOKUP(calls[[#This Row],[Customer ID]],customers[Customer ID],customers[Age])</f>
        <v>37</v>
      </c>
      <c r="O252" t="str">
        <f>_xlfn.XLOOKUP(calls[[#This Row],[Customer ID]],customers[Customer ID],customers[Gender])</f>
        <v>Male</v>
      </c>
    </row>
    <row r="253" spans="2:15" x14ac:dyDescent="0.55000000000000004">
      <c r="B253" t="s">
        <v>275</v>
      </c>
      <c r="C253" t="s">
        <v>8</v>
      </c>
      <c r="D253">
        <v>48</v>
      </c>
      <c r="E253" s="16" t="s">
        <v>9</v>
      </c>
      <c r="F253" s="17">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t="str">
        <f>_xlfn.XLOOKUP(calls[[#This Row],[Customer ID]],customers[Customer ID],customers[City])</f>
        <v>Cincinnati</v>
      </c>
      <c r="N253">
        <f>_xlfn.XLOOKUP(calls[[#This Row],[Customer ID]],customers[Customer ID],customers[Age])</f>
        <v>30</v>
      </c>
      <c r="O253" t="str">
        <f>_xlfn.XLOOKUP(calls[[#This Row],[Customer ID]],customers[Customer ID],customers[Gender])</f>
        <v>Female</v>
      </c>
    </row>
    <row r="254" spans="2:15" x14ac:dyDescent="0.55000000000000004">
      <c r="B254" t="s">
        <v>276</v>
      </c>
      <c r="C254" t="s">
        <v>12</v>
      </c>
      <c r="D254">
        <v>55</v>
      </c>
      <c r="E254" s="16" t="s">
        <v>10</v>
      </c>
      <c r="F254" s="17">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t="str">
        <f>_xlfn.XLOOKUP(calls[[#This Row],[Customer ID]],customers[Customer ID],customers[City])</f>
        <v>Cincinnati</v>
      </c>
      <c r="N254">
        <f>_xlfn.XLOOKUP(calls[[#This Row],[Customer ID]],customers[Customer ID],customers[Age])</f>
        <v>36</v>
      </c>
      <c r="O254" t="str">
        <f>_xlfn.XLOOKUP(calls[[#This Row],[Customer ID]],customers[Customer ID],customers[Gender])</f>
        <v>Male</v>
      </c>
    </row>
    <row r="255" spans="2:15" x14ac:dyDescent="0.55000000000000004">
      <c r="B255" t="s">
        <v>277</v>
      </c>
      <c r="C255" t="s">
        <v>21</v>
      </c>
      <c r="D255">
        <v>88</v>
      </c>
      <c r="E255" s="16" t="s">
        <v>6</v>
      </c>
      <c r="F255" s="17">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t="str">
        <f>_xlfn.XLOOKUP(calls[[#This Row],[Customer ID]],customers[Customer ID],customers[City])</f>
        <v>Columbus</v>
      </c>
      <c r="N255">
        <f>_xlfn.XLOOKUP(calls[[#This Row],[Customer ID]],customers[Customer ID],customers[Age])</f>
        <v>38</v>
      </c>
      <c r="O255" t="str">
        <f>_xlfn.XLOOKUP(calls[[#This Row],[Customer ID]],customers[Customer ID],customers[Gender])</f>
        <v>Female</v>
      </c>
    </row>
    <row r="256" spans="2:15" x14ac:dyDescent="0.55000000000000004">
      <c r="B256" t="s">
        <v>278</v>
      </c>
      <c r="C256" t="s">
        <v>23</v>
      </c>
      <c r="D256">
        <v>102</v>
      </c>
      <c r="E256" s="16" t="s">
        <v>11</v>
      </c>
      <c r="F256" s="17">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t="str">
        <f>_xlfn.XLOOKUP(calls[[#This Row],[Customer ID]],customers[Customer ID],customers[City])</f>
        <v>Columbus</v>
      </c>
      <c r="N256">
        <f>_xlfn.XLOOKUP(calls[[#This Row],[Customer ID]],customers[Customer ID],customers[Age])</f>
        <v>37</v>
      </c>
      <c r="O256" t="str">
        <f>_xlfn.XLOOKUP(calls[[#This Row],[Customer ID]],customers[Customer ID],customers[Gender])</f>
        <v>Male</v>
      </c>
    </row>
    <row r="257" spans="2:15" x14ac:dyDescent="0.55000000000000004">
      <c r="B257" t="s">
        <v>279</v>
      </c>
      <c r="C257" t="s">
        <v>21</v>
      </c>
      <c r="D257">
        <v>155</v>
      </c>
      <c r="E257" s="16" t="s">
        <v>6</v>
      </c>
      <c r="F257" s="17">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t="str">
        <f>_xlfn.XLOOKUP(calls[[#This Row],[Customer ID]],customers[Customer ID],customers[City])</f>
        <v>Columbus</v>
      </c>
      <c r="N257">
        <f>_xlfn.XLOOKUP(calls[[#This Row],[Customer ID]],customers[Customer ID],customers[Age])</f>
        <v>38</v>
      </c>
      <c r="O257" t="str">
        <f>_xlfn.XLOOKUP(calls[[#This Row],[Customer ID]],customers[Customer ID],customers[Gender])</f>
        <v>Female</v>
      </c>
    </row>
    <row r="258" spans="2:15" x14ac:dyDescent="0.55000000000000004">
      <c r="B258" t="s">
        <v>280</v>
      </c>
      <c r="C258" t="s">
        <v>12</v>
      </c>
      <c r="D258">
        <v>63</v>
      </c>
      <c r="E258" s="16" t="s">
        <v>6</v>
      </c>
      <c r="F258" s="17">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t="str">
        <f>_xlfn.XLOOKUP(calls[[#This Row],[Customer ID]],customers[Customer ID],customers[City])</f>
        <v>Cincinnati</v>
      </c>
      <c r="N258">
        <f>_xlfn.XLOOKUP(calls[[#This Row],[Customer ID]],customers[Customer ID],customers[Age])</f>
        <v>36</v>
      </c>
      <c r="O258" t="str">
        <f>_xlfn.XLOOKUP(calls[[#This Row],[Customer ID]],customers[Customer ID],customers[Gender])</f>
        <v>Male</v>
      </c>
    </row>
    <row r="259" spans="2:15" x14ac:dyDescent="0.55000000000000004">
      <c r="B259" t="s">
        <v>281</v>
      </c>
      <c r="C259" t="s">
        <v>15</v>
      </c>
      <c r="D259">
        <v>59</v>
      </c>
      <c r="E259" s="16" t="s">
        <v>11</v>
      </c>
      <c r="F259" s="17">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t="str">
        <f>_xlfn.XLOOKUP(calls[[#This Row],[Customer ID]],customers[Customer ID],customers[City])</f>
        <v>Cleveland</v>
      </c>
      <c r="N259">
        <f>_xlfn.XLOOKUP(calls[[#This Row],[Customer ID]],customers[Customer ID],customers[Age])</f>
        <v>22</v>
      </c>
      <c r="O259" t="str">
        <f>_xlfn.XLOOKUP(calls[[#This Row],[Customer ID]],customers[Customer ID],customers[Gender])</f>
        <v>Female</v>
      </c>
    </row>
    <row r="260" spans="2:15" x14ac:dyDescent="0.55000000000000004">
      <c r="B260" t="s">
        <v>282</v>
      </c>
      <c r="C260" t="s">
        <v>15</v>
      </c>
      <c r="D260">
        <v>144</v>
      </c>
      <c r="E260" s="16" t="s">
        <v>9</v>
      </c>
      <c r="F260" s="17">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t="str">
        <f>_xlfn.XLOOKUP(calls[[#This Row],[Customer ID]],customers[Customer ID],customers[City])</f>
        <v>Cleveland</v>
      </c>
      <c r="N260">
        <f>_xlfn.XLOOKUP(calls[[#This Row],[Customer ID]],customers[Customer ID],customers[Age])</f>
        <v>22</v>
      </c>
      <c r="O260" t="str">
        <f>_xlfn.XLOOKUP(calls[[#This Row],[Customer ID]],customers[Customer ID],customers[Gender])</f>
        <v>Female</v>
      </c>
    </row>
    <row r="261" spans="2:15" x14ac:dyDescent="0.55000000000000004">
      <c r="B261" t="s">
        <v>283</v>
      </c>
      <c r="C261" t="s">
        <v>7</v>
      </c>
      <c r="D261">
        <v>113</v>
      </c>
      <c r="E261" s="16" t="s">
        <v>13</v>
      </c>
      <c r="F261" s="17">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t="str">
        <f>_xlfn.XLOOKUP(calls[[#This Row],[Customer ID]],customers[Customer ID],customers[City])</f>
        <v>Columbus</v>
      </c>
      <c r="N261">
        <f>_xlfn.XLOOKUP(calls[[#This Row],[Customer ID]],customers[Customer ID],customers[Age])</f>
        <v>23</v>
      </c>
      <c r="O261" t="str">
        <f>_xlfn.XLOOKUP(calls[[#This Row],[Customer ID]],customers[Customer ID],customers[Gender])</f>
        <v>Male</v>
      </c>
    </row>
    <row r="262" spans="2:15" x14ac:dyDescent="0.55000000000000004">
      <c r="B262" t="s">
        <v>284</v>
      </c>
      <c r="C262" t="s">
        <v>16</v>
      </c>
      <c r="D262">
        <v>154</v>
      </c>
      <c r="E262" s="16" t="s">
        <v>10</v>
      </c>
      <c r="F262" s="17">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t="str">
        <f>_xlfn.XLOOKUP(calls[[#This Row],[Customer ID]],customers[Customer ID],customers[City])</f>
        <v>Cincinnati</v>
      </c>
      <c r="N262">
        <f>_xlfn.XLOOKUP(calls[[#This Row],[Customer ID]],customers[Customer ID],customers[Age])</f>
        <v>28</v>
      </c>
      <c r="O262" t="str">
        <f>_xlfn.XLOOKUP(calls[[#This Row],[Customer ID]],customers[Customer ID],customers[Gender])</f>
        <v>Female</v>
      </c>
    </row>
    <row r="263" spans="2:15" x14ac:dyDescent="0.55000000000000004">
      <c r="B263" t="s">
        <v>285</v>
      </c>
      <c r="C263" t="s">
        <v>16</v>
      </c>
      <c r="D263">
        <v>58</v>
      </c>
      <c r="E263" s="16" t="s">
        <v>11</v>
      </c>
      <c r="F263" s="17">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t="str">
        <f>_xlfn.XLOOKUP(calls[[#This Row],[Customer ID]],customers[Customer ID],customers[City])</f>
        <v>Cincinnati</v>
      </c>
      <c r="N263">
        <f>_xlfn.XLOOKUP(calls[[#This Row],[Customer ID]],customers[Customer ID],customers[Age])</f>
        <v>28</v>
      </c>
      <c r="O263" t="str">
        <f>_xlfn.XLOOKUP(calls[[#This Row],[Customer ID]],customers[Customer ID],customers[Gender])</f>
        <v>Female</v>
      </c>
    </row>
    <row r="264" spans="2:15" x14ac:dyDescent="0.55000000000000004">
      <c r="B264" t="s">
        <v>286</v>
      </c>
      <c r="C264" t="s">
        <v>8</v>
      </c>
      <c r="D264">
        <v>63</v>
      </c>
      <c r="E264" s="16" t="s">
        <v>6</v>
      </c>
      <c r="F264" s="17">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t="str">
        <f>_xlfn.XLOOKUP(calls[[#This Row],[Customer ID]],customers[Customer ID],customers[City])</f>
        <v>Cincinnati</v>
      </c>
      <c r="N264">
        <f>_xlfn.XLOOKUP(calls[[#This Row],[Customer ID]],customers[Customer ID],customers[Age])</f>
        <v>30</v>
      </c>
      <c r="O264" t="str">
        <f>_xlfn.XLOOKUP(calls[[#This Row],[Customer ID]],customers[Customer ID],customers[Gender])</f>
        <v>Female</v>
      </c>
    </row>
    <row r="265" spans="2:15" x14ac:dyDescent="0.55000000000000004">
      <c r="B265" t="s">
        <v>287</v>
      </c>
      <c r="C265" t="s">
        <v>22</v>
      </c>
      <c r="D265">
        <v>59</v>
      </c>
      <c r="E265" s="16" t="s">
        <v>9</v>
      </c>
      <c r="F265" s="17">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t="str">
        <f>_xlfn.XLOOKUP(calls[[#This Row],[Customer ID]],customers[Customer ID],customers[City])</f>
        <v>Columbus</v>
      </c>
      <c r="N265">
        <f>_xlfn.XLOOKUP(calls[[#This Row],[Customer ID]],customers[Customer ID],customers[Age])</f>
        <v>25</v>
      </c>
      <c r="O265" t="str">
        <f>_xlfn.XLOOKUP(calls[[#This Row],[Customer ID]],customers[Customer ID],customers[Gender])</f>
        <v>Female</v>
      </c>
    </row>
    <row r="266" spans="2:15" x14ac:dyDescent="0.55000000000000004">
      <c r="B266" t="s">
        <v>288</v>
      </c>
      <c r="C266" t="s">
        <v>5</v>
      </c>
      <c r="D266">
        <v>129</v>
      </c>
      <c r="E266" s="16" t="s">
        <v>6</v>
      </c>
      <c r="F266" s="17">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t="str">
        <f>_xlfn.XLOOKUP(calls[[#This Row],[Customer ID]],customers[Customer ID],customers[City])</f>
        <v>Cleveland</v>
      </c>
      <c r="N266">
        <f>_xlfn.XLOOKUP(calls[[#This Row],[Customer ID]],customers[Customer ID],customers[Age])</f>
        <v>42</v>
      </c>
      <c r="O266" t="str">
        <f>_xlfn.XLOOKUP(calls[[#This Row],[Customer ID]],customers[Customer ID],customers[Gender])</f>
        <v>Female</v>
      </c>
    </row>
    <row r="267" spans="2:15" x14ac:dyDescent="0.55000000000000004">
      <c r="B267" t="s">
        <v>289</v>
      </c>
      <c r="C267" t="s">
        <v>24</v>
      </c>
      <c r="D267">
        <v>101</v>
      </c>
      <c r="E267" s="16" t="s">
        <v>13</v>
      </c>
      <c r="F267" s="17">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t="str">
        <f>_xlfn.XLOOKUP(calls[[#This Row],[Customer ID]],customers[Customer ID],customers[City])</f>
        <v>Cleveland</v>
      </c>
      <c r="N267">
        <f>_xlfn.XLOOKUP(calls[[#This Row],[Customer ID]],customers[Customer ID],customers[Age])</f>
        <v>31</v>
      </c>
      <c r="O267" t="str">
        <f>_xlfn.XLOOKUP(calls[[#This Row],[Customer ID]],customers[Customer ID],customers[Gender])</f>
        <v>Male</v>
      </c>
    </row>
    <row r="268" spans="2:15" x14ac:dyDescent="0.55000000000000004">
      <c r="B268" t="s">
        <v>290</v>
      </c>
      <c r="C268" t="s">
        <v>19</v>
      </c>
      <c r="D268">
        <v>154</v>
      </c>
      <c r="E268" s="16" t="s">
        <v>9</v>
      </c>
      <c r="F268" s="17">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t="str">
        <f>_xlfn.XLOOKUP(calls[[#This Row],[Customer ID]],customers[Customer ID],customers[City])</f>
        <v>Cleveland</v>
      </c>
      <c r="N268">
        <f>_xlfn.XLOOKUP(calls[[#This Row],[Customer ID]],customers[Customer ID],customers[Age])</f>
        <v>43</v>
      </c>
      <c r="O268" t="str">
        <f>_xlfn.XLOOKUP(calls[[#This Row],[Customer ID]],customers[Customer ID],customers[Gender])</f>
        <v>Female</v>
      </c>
    </row>
    <row r="269" spans="2:15" x14ac:dyDescent="0.55000000000000004">
      <c r="B269" t="s">
        <v>291</v>
      </c>
      <c r="C269" t="s">
        <v>18</v>
      </c>
      <c r="D269">
        <v>131</v>
      </c>
      <c r="E269" s="16" t="s">
        <v>9</v>
      </c>
      <c r="F269" s="17">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t="str">
        <f>_xlfn.XLOOKUP(calls[[#This Row],[Customer ID]],customers[Customer ID],customers[City])</f>
        <v>Cleveland</v>
      </c>
      <c r="N269">
        <f>_xlfn.XLOOKUP(calls[[#This Row],[Customer ID]],customers[Customer ID],customers[Age])</f>
        <v>30</v>
      </c>
      <c r="O269" t="str">
        <f>_xlfn.XLOOKUP(calls[[#This Row],[Customer ID]],customers[Customer ID],customers[Gender])</f>
        <v>Female</v>
      </c>
    </row>
    <row r="270" spans="2:15" x14ac:dyDescent="0.55000000000000004">
      <c r="B270" t="s">
        <v>292</v>
      </c>
      <c r="C270" t="s">
        <v>15</v>
      </c>
      <c r="D270">
        <v>111</v>
      </c>
      <c r="E270" s="16" t="s">
        <v>13</v>
      </c>
      <c r="F270" s="17">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t="str">
        <f>_xlfn.XLOOKUP(calls[[#This Row],[Customer ID]],customers[Customer ID],customers[City])</f>
        <v>Cleveland</v>
      </c>
      <c r="N270">
        <f>_xlfn.XLOOKUP(calls[[#This Row],[Customer ID]],customers[Customer ID],customers[Age])</f>
        <v>22</v>
      </c>
      <c r="O270" t="str">
        <f>_xlfn.XLOOKUP(calls[[#This Row],[Customer ID]],customers[Customer ID],customers[Gender])</f>
        <v>Female</v>
      </c>
    </row>
    <row r="271" spans="2:15" x14ac:dyDescent="0.55000000000000004">
      <c r="B271" t="s">
        <v>293</v>
      </c>
      <c r="C271" t="s">
        <v>16</v>
      </c>
      <c r="D271">
        <v>142</v>
      </c>
      <c r="E271" s="16" t="s">
        <v>13</v>
      </c>
      <c r="F271" s="17">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t="str">
        <f>_xlfn.XLOOKUP(calls[[#This Row],[Customer ID]],customers[Customer ID],customers[City])</f>
        <v>Cincinnati</v>
      </c>
      <c r="N271">
        <f>_xlfn.XLOOKUP(calls[[#This Row],[Customer ID]],customers[Customer ID],customers[Age])</f>
        <v>28</v>
      </c>
      <c r="O271" t="str">
        <f>_xlfn.XLOOKUP(calls[[#This Row],[Customer ID]],customers[Customer ID],customers[Gender])</f>
        <v>Female</v>
      </c>
    </row>
    <row r="272" spans="2:15" x14ac:dyDescent="0.55000000000000004">
      <c r="B272" t="s">
        <v>294</v>
      </c>
      <c r="C272" t="s">
        <v>23</v>
      </c>
      <c r="D272">
        <v>93</v>
      </c>
      <c r="E272" s="16" t="s">
        <v>6</v>
      </c>
      <c r="F272" s="17">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t="str">
        <f>_xlfn.XLOOKUP(calls[[#This Row],[Customer ID]],customers[Customer ID],customers[City])</f>
        <v>Columbus</v>
      </c>
      <c r="N272">
        <f>_xlfn.XLOOKUP(calls[[#This Row],[Customer ID]],customers[Customer ID],customers[Age])</f>
        <v>37</v>
      </c>
      <c r="O272" t="str">
        <f>_xlfn.XLOOKUP(calls[[#This Row],[Customer ID]],customers[Customer ID],customers[Gender])</f>
        <v>Male</v>
      </c>
    </row>
    <row r="273" spans="2:15" x14ac:dyDescent="0.55000000000000004">
      <c r="B273" t="s">
        <v>295</v>
      </c>
      <c r="C273" t="s">
        <v>16</v>
      </c>
      <c r="D273">
        <v>125</v>
      </c>
      <c r="E273" s="16" t="s">
        <v>10</v>
      </c>
      <c r="F273" s="17">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t="str">
        <f>_xlfn.XLOOKUP(calls[[#This Row],[Customer ID]],customers[Customer ID],customers[City])</f>
        <v>Cincinnati</v>
      </c>
      <c r="N273">
        <f>_xlfn.XLOOKUP(calls[[#This Row],[Customer ID]],customers[Customer ID],customers[Age])</f>
        <v>28</v>
      </c>
      <c r="O273" t="str">
        <f>_xlfn.XLOOKUP(calls[[#This Row],[Customer ID]],customers[Customer ID],customers[Gender])</f>
        <v>Female</v>
      </c>
    </row>
    <row r="274" spans="2:15" x14ac:dyDescent="0.55000000000000004">
      <c r="B274" t="s">
        <v>296</v>
      </c>
      <c r="C274" t="s">
        <v>5</v>
      </c>
      <c r="D274">
        <v>76</v>
      </c>
      <c r="E274" s="16" t="s">
        <v>9</v>
      </c>
      <c r="F274" s="17">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t="str">
        <f>_xlfn.XLOOKUP(calls[[#This Row],[Customer ID]],customers[Customer ID],customers[City])</f>
        <v>Cleveland</v>
      </c>
      <c r="N274">
        <f>_xlfn.XLOOKUP(calls[[#This Row],[Customer ID]],customers[Customer ID],customers[Age])</f>
        <v>42</v>
      </c>
      <c r="O274" t="str">
        <f>_xlfn.XLOOKUP(calls[[#This Row],[Customer ID]],customers[Customer ID],customers[Gender])</f>
        <v>Female</v>
      </c>
    </row>
    <row r="275" spans="2:15" x14ac:dyDescent="0.55000000000000004">
      <c r="B275" t="s">
        <v>297</v>
      </c>
      <c r="C275" t="s">
        <v>7</v>
      </c>
      <c r="D275">
        <v>69</v>
      </c>
      <c r="E275" s="16" t="s">
        <v>6</v>
      </c>
      <c r="F275" s="17">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t="str">
        <f>_xlfn.XLOOKUP(calls[[#This Row],[Customer ID]],customers[Customer ID],customers[City])</f>
        <v>Columbus</v>
      </c>
      <c r="N275">
        <f>_xlfn.XLOOKUP(calls[[#This Row],[Customer ID]],customers[Customer ID],customers[Age])</f>
        <v>23</v>
      </c>
      <c r="O275" t="str">
        <f>_xlfn.XLOOKUP(calls[[#This Row],[Customer ID]],customers[Customer ID],customers[Gender])</f>
        <v>Male</v>
      </c>
    </row>
    <row r="276" spans="2:15" x14ac:dyDescent="0.55000000000000004">
      <c r="B276" t="s">
        <v>298</v>
      </c>
      <c r="C276" t="s">
        <v>22</v>
      </c>
      <c r="D276">
        <v>149</v>
      </c>
      <c r="E276" s="16" t="s">
        <v>10</v>
      </c>
      <c r="F276" s="17">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t="str">
        <f>_xlfn.XLOOKUP(calls[[#This Row],[Customer ID]],customers[Customer ID],customers[City])</f>
        <v>Columbus</v>
      </c>
      <c r="N276">
        <f>_xlfn.XLOOKUP(calls[[#This Row],[Customer ID]],customers[Customer ID],customers[Age])</f>
        <v>25</v>
      </c>
      <c r="O276" t="str">
        <f>_xlfn.XLOOKUP(calls[[#This Row],[Customer ID]],customers[Customer ID],customers[Gender])</f>
        <v>Female</v>
      </c>
    </row>
    <row r="277" spans="2:15" x14ac:dyDescent="0.55000000000000004">
      <c r="B277" t="s">
        <v>299</v>
      </c>
      <c r="C277" t="s">
        <v>16</v>
      </c>
      <c r="D277">
        <v>57</v>
      </c>
      <c r="E277" s="16" t="s">
        <v>6</v>
      </c>
      <c r="F277" s="17">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t="str">
        <f>_xlfn.XLOOKUP(calls[[#This Row],[Customer ID]],customers[Customer ID],customers[City])</f>
        <v>Cincinnati</v>
      </c>
      <c r="N277">
        <f>_xlfn.XLOOKUP(calls[[#This Row],[Customer ID]],customers[Customer ID],customers[Age])</f>
        <v>28</v>
      </c>
      <c r="O277" t="str">
        <f>_xlfn.XLOOKUP(calls[[#This Row],[Customer ID]],customers[Customer ID],customers[Gender])</f>
        <v>Female</v>
      </c>
    </row>
    <row r="278" spans="2:15" x14ac:dyDescent="0.55000000000000004">
      <c r="B278" t="s">
        <v>300</v>
      </c>
      <c r="C278" t="s">
        <v>12</v>
      </c>
      <c r="D278">
        <v>113</v>
      </c>
      <c r="E278" s="16" t="s">
        <v>9</v>
      </c>
      <c r="F278" s="17">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t="str">
        <f>_xlfn.XLOOKUP(calls[[#This Row],[Customer ID]],customers[Customer ID],customers[City])</f>
        <v>Cincinnati</v>
      </c>
      <c r="N278">
        <f>_xlfn.XLOOKUP(calls[[#This Row],[Customer ID]],customers[Customer ID],customers[Age])</f>
        <v>36</v>
      </c>
      <c r="O278" t="str">
        <f>_xlfn.XLOOKUP(calls[[#This Row],[Customer ID]],customers[Customer ID],customers[Gender])</f>
        <v>Male</v>
      </c>
    </row>
    <row r="279" spans="2:15" x14ac:dyDescent="0.55000000000000004">
      <c r="B279" t="s">
        <v>301</v>
      </c>
      <c r="C279" t="s">
        <v>20</v>
      </c>
      <c r="D279">
        <v>160</v>
      </c>
      <c r="E279" s="16" t="s">
        <v>10</v>
      </c>
      <c r="F279" s="17">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t="str">
        <f>_xlfn.XLOOKUP(calls[[#This Row],[Customer ID]],customers[Customer ID],customers[City])</f>
        <v>Cincinnati</v>
      </c>
      <c r="N279">
        <f>_xlfn.XLOOKUP(calls[[#This Row],[Customer ID]],customers[Customer ID],customers[Age])</f>
        <v>26</v>
      </c>
      <c r="O279" t="str">
        <f>_xlfn.XLOOKUP(calls[[#This Row],[Customer ID]],customers[Customer ID],customers[Gender])</f>
        <v>Male</v>
      </c>
    </row>
    <row r="280" spans="2:15" x14ac:dyDescent="0.55000000000000004">
      <c r="B280" t="s">
        <v>302</v>
      </c>
      <c r="C280" t="s">
        <v>8</v>
      </c>
      <c r="D280">
        <v>158</v>
      </c>
      <c r="E280" s="16" t="s">
        <v>11</v>
      </c>
      <c r="F280" s="17">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t="str">
        <f>_xlfn.XLOOKUP(calls[[#This Row],[Customer ID]],customers[Customer ID],customers[City])</f>
        <v>Cincinnati</v>
      </c>
      <c r="N280">
        <f>_xlfn.XLOOKUP(calls[[#This Row],[Customer ID]],customers[Customer ID],customers[Age])</f>
        <v>30</v>
      </c>
      <c r="O280" t="str">
        <f>_xlfn.XLOOKUP(calls[[#This Row],[Customer ID]],customers[Customer ID],customers[Gender])</f>
        <v>Female</v>
      </c>
    </row>
    <row r="281" spans="2:15" x14ac:dyDescent="0.55000000000000004">
      <c r="B281" t="s">
        <v>303</v>
      </c>
      <c r="C281" t="s">
        <v>7</v>
      </c>
      <c r="D281">
        <v>77</v>
      </c>
      <c r="E281" s="16" t="s">
        <v>10</v>
      </c>
      <c r="F281" s="17">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t="str">
        <f>_xlfn.XLOOKUP(calls[[#This Row],[Customer ID]],customers[Customer ID],customers[City])</f>
        <v>Columbus</v>
      </c>
      <c r="N281">
        <f>_xlfn.XLOOKUP(calls[[#This Row],[Customer ID]],customers[Customer ID],customers[Age])</f>
        <v>23</v>
      </c>
      <c r="O281" t="str">
        <f>_xlfn.XLOOKUP(calls[[#This Row],[Customer ID]],customers[Customer ID],customers[Gender])</f>
        <v>Male</v>
      </c>
    </row>
    <row r="282" spans="2:15" x14ac:dyDescent="0.55000000000000004">
      <c r="B282" t="s">
        <v>304</v>
      </c>
      <c r="C282" t="s">
        <v>14</v>
      </c>
      <c r="D282">
        <v>118</v>
      </c>
      <c r="E282" s="16" t="s">
        <v>13</v>
      </c>
      <c r="F282" s="17">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t="str">
        <f>_xlfn.XLOOKUP(calls[[#This Row],[Customer ID]],customers[Customer ID],customers[City])</f>
        <v>Cleveland</v>
      </c>
      <c r="N282">
        <f>_xlfn.XLOOKUP(calls[[#This Row],[Customer ID]],customers[Customer ID],customers[Age])</f>
        <v>37</v>
      </c>
      <c r="O282" t="str">
        <f>_xlfn.XLOOKUP(calls[[#This Row],[Customer ID]],customers[Customer ID],customers[Gender])</f>
        <v>Female</v>
      </c>
    </row>
    <row r="283" spans="2:15" x14ac:dyDescent="0.55000000000000004">
      <c r="B283" t="s">
        <v>305</v>
      </c>
      <c r="C283" t="s">
        <v>19</v>
      </c>
      <c r="D283">
        <v>75</v>
      </c>
      <c r="E283" s="16" t="s">
        <v>9</v>
      </c>
      <c r="F283" s="17">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t="str">
        <f>_xlfn.XLOOKUP(calls[[#This Row],[Customer ID]],customers[Customer ID],customers[City])</f>
        <v>Cleveland</v>
      </c>
      <c r="N283">
        <f>_xlfn.XLOOKUP(calls[[#This Row],[Customer ID]],customers[Customer ID],customers[Age])</f>
        <v>43</v>
      </c>
      <c r="O283" t="str">
        <f>_xlfn.XLOOKUP(calls[[#This Row],[Customer ID]],customers[Customer ID],customers[Gender])</f>
        <v>Female</v>
      </c>
    </row>
    <row r="284" spans="2:15" x14ac:dyDescent="0.55000000000000004">
      <c r="B284" t="s">
        <v>306</v>
      </c>
      <c r="C284" t="s">
        <v>12</v>
      </c>
      <c r="D284">
        <v>103</v>
      </c>
      <c r="E284" s="16" t="s">
        <v>10</v>
      </c>
      <c r="F284" s="17">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t="str">
        <f>_xlfn.XLOOKUP(calls[[#This Row],[Customer ID]],customers[Customer ID],customers[City])</f>
        <v>Cincinnati</v>
      </c>
      <c r="N284">
        <f>_xlfn.XLOOKUP(calls[[#This Row],[Customer ID]],customers[Customer ID],customers[Age])</f>
        <v>36</v>
      </c>
      <c r="O284" t="str">
        <f>_xlfn.XLOOKUP(calls[[#This Row],[Customer ID]],customers[Customer ID],customers[Gender])</f>
        <v>Male</v>
      </c>
    </row>
    <row r="285" spans="2:15" x14ac:dyDescent="0.55000000000000004">
      <c r="B285" t="s">
        <v>307</v>
      </c>
      <c r="C285" t="s">
        <v>7</v>
      </c>
      <c r="D285">
        <v>116</v>
      </c>
      <c r="E285" s="16" t="s">
        <v>13</v>
      </c>
      <c r="F285" s="17">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t="str">
        <f>_xlfn.XLOOKUP(calls[[#This Row],[Customer ID]],customers[Customer ID],customers[City])</f>
        <v>Columbus</v>
      </c>
      <c r="N285">
        <f>_xlfn.XLOOKUP(calls[[#This Row],[Customer ID]],customers[Customer ID],customers[Age])</f>
        <v>23</v>
      </c>
      <c r="O285" t="str">
        <f>_xlfn.XLOOKUP(calls[[#This Row],[Customer ID]],customers[Customer ID],customers[Gender])</f>
        <v>Male</v>
      </c>
    </row>
    <row r="286" spans="2:15" x14ac:dyDescent="0.55000000000000004">
      <c r="B286" t="s">
        <v>308</v>
      </c>
      <c r="C286" t="s">
        <v>15</v>
      </c>
      <c r="D286">
        <v>61</v>
      </c>
      <c r="E286" s="16" t="s">
        <v>11</v>
      </c>
      <c r="F286" s="17">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t="str">
        <f>_xlfn.XLOOKUP(calls[[#This Row],[Customer ID]],customers[Customer ID],customers[City])</f>
        <v>Cleveland</v>
      </c>
      <c r="N286">
        <f>_xlfn.XLOOKUP(calls[[#This Row],[Customer ID]],customers[Customer ID],customers[Age])</f>
        <v>22</v>
      </c>
      <c r="O286" t="str">
        <f>_xlfn.XLOOKUP(calls[[#This Row],[Customer ID]],customers[Customer ID],customers[Gender])</f>
        <v>Female</v>
      </c>
    </row>
    <row r="287" spans="2:15" x14ac:dyDescent="0.55000000000000004">
      <c r="B287" t="s">
        <v>309</v>
      </c>
      <c r="C287" t="s">
        <v>16</v>
      </c>
      <c r="D287">
        <v>126</v>
      </c>
      <c r="E287" s="16" t="s">
        <v>9</v>
      </c>
      <c r="F287" s="17">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t="str">
        <f>_xlfn.XLOOKUP(calls[[#This Row],[Customer ID]],customers[Customer ID],customers[City])</f>
        <v>Cincinnati</v>
      </c>
      <c r="N287">
        <f>_xlfn.XLOOKUP(calls[[#This Row],[Customer ID]],customers[Customer ID],customers[Age])</f>
        <v>28</v>
      </c>
      <c r="O287" t="str">
        <f>_xlfn.XLOOKUP(calls[[#This Row],[Customer ID]],customers[Customer ID],customers[Gender])</f>
        <v>Female</v>
      </c>
    </row>
    <row r="288" spans="2:15" x14ac:dyDescent="0.55000000000000004">
      <c r="B288" t="s">
        <v>310</v>
      </c>
      <c r="C288" t="s">
        <v>24</v>
      </c>
      <c r="D288">
        <v>141</v>
      </c>
      <c r="E288" s="16" t="s">
        <v>6</v>
      </c>
      <c r="F288" s="17">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t="str">
        <f>_xlfn.XLOOKUP(calls[[#This Row],[Customer ID]],customers[Customer ID],customers[City])</f>
        <v>Cleveland</v>
      </c>
      <c r="N288">
        <f>_xlfn.XLOOKUP(calls[[#This Row],[Customer ID]],customers[Customer ID],customers[Age])</f>
        <v>31</v>
      </c>
      <c r="O288" t="str">
        <f>_xlfn.XLOOKUP(calls[[#This Row],[Customer ID]],customers[Customer ID],customers[Gender])</f>
        <v>Male</v>
      </c>
    </row>
    <row r="289" spans="2:15" x14ac:dyDescent="0.55000000000000004">
      <c r="B289" t="s">
        <v>311</v>
      </c>
      <c r="C289" t="s">
        <v>8</v>
      </c>
      <c r="D289">
        <v>95</v>
      </c>
      <c r="E289" s="16" t="s">
        <v>13</v>
      </c>
      <c r="F289" s="17">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t="str">
        <f>_xlfn.XLOOKUP(calls[[#This Row],[Customer ID]],customers[Customer ID],customers[City])</f>
        <v>Cincinnati</v>
      </c>
      <c r="N289">
        <f>_xlfn.XLOOKUP(calls[[#This Row],[Customer ID]],customers[Customer ID],customers[Age])</f>
        <v>30</v>
      </c>
      <c r="O289" t="str">
        <f>_xlfn.XLOOKUP(calls[[#This Row],[Customer ID]],customers[Customer ID],customers[Gender])</f>
        <v>Female</v>
      </c>
    </row>
    <row r="290" spans="2:15" x14ac:dyDescent="0.55000000000000004">
      <c r="B290" t="s">
        <v>312</v>
      </c>
      <c r="C290" t="s">
        <v>19</v>
      </c>
      <c r="D290">
        <v>39</v>
      </c>
      <c r="E290" s="16" t="s">
        <v>11</v>
      </c>
      <c r="F290" s="17">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t="str">
        <f>_xlfn.XLOOKUP(calls[[#This Row],[Customer ID]],customers[Customer ID],customers[City])</f>
        <v>Cleveland</v>
      </c>
      <c r="N290">
        <f>_xlfn.XLOOKUP(calls[[#This Row],[Customer ID]],customers[Customer ID],customers[Age])</f>
        <v>43</v>
      </c>
      <c r="O290" t="str">
        <f>_xlfn.XLOOKUP(calls[[#This Row],[Customer ID]],customers[Customer ID],customers[Gender])</f>
        <v>Female</v>
      </c>
    </row>
    <row r="291" spans="2:15" x14ac:dyDescent="0.55000000000000004">
      <c r="B291" t="s">
        <v>313</v>
      </c>
      <c r="C291" t="s">
        <v>12</v>
      </c>
      <c r="D291">
        <v>127</v>
      </c>
      <c r="E291" s="16" t="s">
        <v>9</v>
      </c>
      <c r="F291" s="17">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t="str">
        <f>_xlfn.XLOOKUP(calls[[#This Row],[Customer ID]],customers[Customer ID],customers[City])</f>
        <v>Cincinnati</v>
      </c>
      <c r="N291">
        <f>_xlfn.XLOOKUP(calls[[#This Row],[Customer ID]],customers[Customer ID],customers[Age])</f>
        <v>36</v>
      </c>
      <c r="O291" t="str">
        <f>_xlfn.XLOOKUP(calls[[#This Row],[Customer ID]],customers[Customer ID],customers[Gender])</f>
        <v>Male</v>
      </c>
    </row>
    <row r="292" spans="2:15" x14ac:dyDescent="0.55000000000000004">
      <c r="B292" t="s">
        <v>314</v>
      </c>
      <c r="C292" t="s">
        <v>15</v>
      </c>
      <c r="D292">
        <v>78</v>
      </c>
      <c r="E292" s="16" t="s">
        <v>9</v>
      </c>
      <c r="F292" s="17">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t="str">
        <f>_xlfn.XLOOKUP(calls[[#This Row],[Customer ID]],customers[Customer ID],customers[City])</f>
        <v>Cleveland</v>
      </c>
      <c r="N292">
        <f>_xlfn.XLOOKUP(calls[[#This Row],[Customer ID]],customers[Customer ID],customers[Age])</f>
        <v>22</v>
      </c>
      <c r="O292" t="str">
        <f>_xlfn.XLOOKUP(calls[[#This Row],[Customer ID]],customers[Customer ID],customers[Gender])</f>
        <v>Female</v>
      </c>
    </row>
    <row r="293" spans="2:15" x14ac:dyDescent="0.55000000000000004">
      <c r="B293" t="s">
        <v>315</v>
      </c>
      <c r="C293" t="s">
        <v>14</v>
      </c>
      <c r="D293">
        <v>40</v>
      </c>
      <c r="E293" s="16" t="s">
        <v>9</v>
      </c>
      <c r="F293" s="17">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t="str">
        <f>_xlfn.XLOOKUP(calls[[#This Row],[Customer ID]],customers[Customer ID],customers[City])</f>
        <v>Cleveland</v>
      </c>
      <c r="N293">
        <f>_xlfn.XLOOKUP(calls[[#This Row],[Customer ID]],customers[Customer ID],customers[Age])</f>
        <v>37</v>
      </c>
      <c r="O293" t="str">
        <f>_xlfn.XLOOKUP(calls[[#This Row],[Customer ID]],customers[Customer ID],customers[Gender])</f>
        <v>Female</v>
      </c>
    </row>
    <row r="294" spans="2:15" x14ac:dyDescent="0.55000000000000004">
      <c r="B294" t="s">
        <v>316</v>
      </c>
      <c r="C294" t="s">
        <v>15</v>
      </c>
      <c r="D294">
        <v>56</v>
      </c>
      <c r="E294" s="16" t="s">
        <v>11</v>
      </c>
      <c r="F294" s="17">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t="str">
        <f>_xlfn.XLOOKUP(calls[[#This Row],[Customer ID]],customers[Customer ID],customers[City])</f>
        <v>Cleveland</v>
      </c>
      <c r="N294">
        <f>_xlfn.XLOOKUP(calls[[#This Row],[Customer ID]],customers[Customer ID],customers[Age])</f>
        <v>22</v>
      </c>
      <c r="O294" t="str">
        <f>_xlfn.XLOOKUP(calls[[#This Row],[Customer ID]],customers[Customer ID],customers[Gender])</f>
        <v>Female</v>
      </c>
    </row>
    <row r="295" spans="2:15" x14ac:dyDescent="0.55000000000000004">
      <c r="B295" t="s">
        <v>317</v>
      </c>
      <c r="C295" t="s">
        <v>19</v>
      </c>
      <c r="D295">
        <v>59</v>
      </c>
      <c r="E295" s="16" t="s">
        <v>6</v>
      </c>
      <c r="F295" s="17">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t="str">
        <f>_xlfn.XLOOKUP(calls[[#This Row],[Customer ID]],customers[Customer ID],customers[City])</f>
        <v>Cleveland</v>
      </c>
      <c r="N295">
        <f>_xlfn.XLOOKUP(calls[[#This Row],[Customer ID]],customers[Customer ID],customers[Age])</f>
        <v>43</v>
      </c>
      <c r="O295" t="str">
        <f>_xlfn.XLOOKUP(calls[[#This Row],[Customer ID]],customers[Customer ID],customers[Gender])</f>
        <v>Female</v>
      </c>
    </row>
    <row r="296" spans="2:15" x14ac:dyDescent="0.55000000000000004">
      <c r="B296" t="s">
        <v>318</v>
      </c>
      <c r="C296" t="s">
        <v>16</v>
      </c>
      <c r="D296">
        <v>30</v>
      </c>
      <c r="E296" s="16" t="s">
        <v>9</v>
      </c>
      <c r="F296" s="17">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t="str">
        <f>_xlfn.XLOOKUP(calls[[#This Row],[Customer ID]],customers[Customer ID],customers[City])</f>
        <v>Cincinnati</v>
      </c>
      <c r="N296">
        <f>_xlfn.XLOOKUP(calls[[#This Row],[Customer ID]],customers[Customer ID],customers[Age])</f>
        <v>28</v>
      </c>
      <c r="O296" t="str">
        <f>_xlfn.XLOOKUP(calls[[#This Row],[Customer ID]],customers[Customer ID],customers[Gender])</f>
        <v>Female</v>
      </c>
    </row>
    <row r="297" spans="2:15" x14ac:dyDescent="0.55000000000000004">
      <c r="B297" t="s">
        <v>319</v>
      </c>
      <c r="C297" t="s">
        <v>14</v>
      </c>
      <c r="D297">
        <v>63</v>
      </c>
      <c r="E297" s="16" t="s">
        <v>10</v>
      </c>
      <c r="F297" s="17">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t="str">
        <f>_xlfn.XLOOKUP(calls[[#This Row],[Customer ID]],customers[Customer ID],customers[City])</f>
        <v>Cleveland</v>
      </c>
      <c r="N297">
        <f>_xlfn.XLOOKUP(calls[[#This Row],[Customer ID]],customers[Customer ID],customers[Age])</f>
        <v>37</v>
      </c>
      <c r="O297" t="str">
        <f>_xlfn.XLOOKUP(calls[[#This Row],[Customer ID]],customers[Customer ID],customers[Gender])</f>
        <v>Female</v>
      </c>
    </row>
    <row r="298" spans="2:15" x14ac:dyDescent="0.55000000000000004">
      <c r="B298" t="s">
        <v>320</v>
      </c>
      <c r="C298" t="s">
        <v>23</v>
      </c>
      <c r="D298">
        <v>56</v>
      </c>
      <c r="E298" s="16" t="s">
        <v>13</v>
      </c>
      <c r="F298" s="17">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t="str">
        <f>_xlfn.XLOOKUP(calls[[#This Row],[Customer ID]],customers[Customer ID],customers[City])</f>
        <v>Columbus</v>
      </c>
      <c r="N298">
        <f>_xlfn.XLOOKUP(calls[[#This Row],[Customer ID]],customers[Customer ID],customers[Age])</f>
        <v>37</v>
      </c>
      <c r="O298" t="str">
        <f>_xlfn.XLOOKUP(calls[[#This Row],[Customer ID]],customers[Customer ID],customers[Gender])</f>
        <v>Male</v>
      </c>
    </row>
    <row r="299" spans="2:15" x14ac:dyDescent="0.55000000000000004">
      <c r="B299" t="s">
        <v>321</v>
      </c>
      <c r="C299" t="s">
        <v>5</v>
      </c>
      <c r="D299">
        <v>95</v>
      </c>
      <c r="E299" s="16" t="s">
        <v>10</v>
      </c>
      <c r="F299" s="17">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t="str">
        <f>_xlfn.XLOOKUP(calls[[#This Row],[Customer ID]],customers[Customer ID],customers[City])</f>
        <v>Cleveland</v>
      </c>
      <c r="N299">
        <f>_xlfn.XLOOKUP(calls[[#This Row],[Customer ID]],customers[Customer ID],customers[Age])</f>
        <v>42</v>
      </c>
      <c r="O299" t="str">
        <f>_xlfn.XLOOKUP(calls[[#This Row],[Customer ID]],customers[Customer ID],customers[Gender])</f>
        <v>Female</v>
      </c>
    </row>
    <row r="300" spans="2:15" x14ac:dyDescent="0.55000000000000004">
      <c r="B300" t="s">
        <v>322</v>
      </c>
      <c r="C300" t="s">
        <v>17</v>
      </c>
      <c r="D300">
        <v>128</v>
      </c>
      <c r="E300" s="16" t="s">
        <v>6</v>
      </c>
      <c r="F300" s="17">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t="str">
        <f>_xlfn.XLOOKUP(calls[[#This Row],[Customer ID]],customers[Customer ID],customers[City])</f>
        <v>Columbus</v>
      </c>
      <c r="N300">
        <f>_xlfn.XLOOKUP(calls[[#This Row],[Customer ID]],customers[Customer ID],customers[Age])</f>
        <v>41</v>
      </c>
      <c r="O300" t="str">
        <f>_xlfn.XLOOKUP(calls[[#This Row],[Customer ID]],customers[Customer ID],customers[Gender])</f>
        <v>Male</v>
      </c>
    </row>
    <row r="301" spans="2:15" x14ac:dyDescent="0.55000000000000004">
      <c r="B301" t="s">
        <v>323</v>
      </c>
      <c r="C301" t="s">
        <v>8</v>
      </c>
      <c r="D301">
        <v>49</v>
      </c>
      <c r="E301" s="16" t="s">
        <v>10</v>
      </c>
      <c r="F301" s="17">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t="str">
        <f>_xlfn.XLOOKUP(calls[[#This Row],[Customer ID]],customers[Customer ID],customers[City])</f>
        <v>Cincinnati</v>
      </c>
      <c r="N301">
        <f>_xlfn.XLOOKUP(calls[[#This Row],[Customer ID]],customers[Customer ID],customers[Age])</f>
        <v>30</v>
      </c>
      <c r="O301" t="str">
        <f>_xlfn.XLOOKUP(calls[[#This Row],[Customer ID]],customers[Customer ID],customers[Gender])</f>
        <v>Female</v>
      </c>
    </row>
    <row r="302" spans="2:15" x14ac:dyDescent="0.55000000000000004">
      <c r="B302" t="s">
        <v>324</v>
      </c>
      <c r="C302" t="s">
        <v>17</v>
      </c>
      <c r="D302">
        <v>89</v>
      </c>
      <c r="E302" s="16" t="s">
        <v>11</v>
      </c>
      <c r="F302" s="17">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t="str">
        <f>_xlfn.XLOOKUP(calls[[#This Row],[Customer ID]],customers[Customer ID],customers[City])</f>
        <v>Columbus</v>
      </c>
      <c r="N302">
        <f>_xlfn.XLOOKUP(calls[[#This Row],[Customer ID]],customers[Customer ID],customers[Age])</f>
        <v>41</v>
      </c>
      <c r="O302" t="str">
        <f>_xlfn.XLOOKUP(calls[[#This Row],[Customer ID]],customers[Customer ID],customers[Gender])</f>
        <v>Male</v>
      </c>
    </row>
    <row r="303" spans="2:15" x14ac:dyDescent="0.55000000000000004">
      <c r="B303" t="s">
        <v>325</v>
      </c>
      <c r="C303" t="s">
        <v>22</v>
      </c>
      <c r="D303">
        <v>87</v>
      </c>
      <c r="E303" s="16" t="s">
        <v>10</v>
      </c>
      <c r="F303" s="17">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t="str">
        <f>_xlfn.XLOOKUP(calls[[#This Row],[Customer ID]],customers[Customer ID],customers[City])</f>
        <v>Columbus</v>
      </c>
      <c r="N303">
        <f>_xlfn.XLOOKUP(calls[[#This Row],[Customer ID]],customers[Customer ID],customers[Age])</f>
        <v>25</v>
      </c>
      <c r="O303" t="str">
        <f>_xlfn.XLOOKUP(calls[[#This Row],[Customer ID]],customers[Customer ID],customers[Gender])</f>
        <v>Female</v>
      </c>
    </row>
    <row r="304" spans="2:15" x14ac:dyDescent="0.55000000000000004">
      <c r="B304" t="s">
        <v>326</v>
      </c>
      <c r="C304" t="s">
        <v>20</v>
      </c>
      <c r="D304">
        <v>60</v>
      </c>
      <c r="E304" s="16" t="s">
        <v>9</v>
      </c>
      <c r="F304" s="17">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t="str">
        <f>_xlfn.XLOOKUP(calls[[#This Row],[Customer ID]],customers[Customer ID],customers[City])</f>
        <v>Cincinnati</v>
      </c>
      <c r="N304">
        <f>_xlfn.XLOOKUP(calls[[#This Row],[Customer ID]],customers[Customer ID],customers[Age])</f>
        <v>26</v>
      </c>
      <c r="O304" t="str">
        <f>_xlfn.XLOOKUP(calls[[#This Row],[Customer ID]],customers[Customer ID],customers[Gender])</f>
        <v>Male</v>
      </c>
    </row>
    <row r="305" spans="2:15" x14ac:dyDescent="0.55000000000000004">
      <c r="B305" t="s">
        <v>327</v>
      </c>
      <c r="C305" t="s">
        <v>21</v>
      </c>
      <c r="D305">
        <v>42</v>
      </c>
      <c r="E305" s="16" t="s">
        <v>11</v>
      </c>
      <c r="F305" s="17">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t="str">
        <f>_xlfn.XLOOKUP(calls[[#This Row],[Customer ID]],customers[Customer ID],customers[City])</f>
        <v>Columbus</v>
      </c>
      <c r="N305">
        <f>_xlfn.XLOOKUP(calls[[#This Row],[Customer ID]],customers[Customer ID],customers[Age])</f>
        <v>38</v>
      </c>
      <c r="O305" t="str">
        <f>_xlfn.XLOOKUP(calls[[#This Row],[Customer ID]],customers[Customer ID],customers[Gender])</f>
        <v>Female</v>
      </c>
    </row>
    <row r="306" spans="2:15" x14ac:dyDescent="0.55000000000000004">
      <c r="B306" t="s">
        <v>328</v>
      </c>
      <c r="C306" t="s">
        <v>18</v>
      </c>
      <c r="D306">
        <v>99</v>
      </c>
      <c r="E306" s="16" t="s">
        <v>9</v>
      </c>
      <c r="F306" s="17">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t="str">
        <f>_xlfn.XLOOKUP(calls[[#This Row],[Customer ID]],customers[Customer ID],customers[City])</f>
        <v>Cleveland</v>
      </c>
      <c r="N306">
        <f>_xlfn.XLOOKUP(calls[[#This Row],[Customer ID]],customers[Customer ID],customers[Age])</f>
        <v>30</v>
      </c>
      <c r="O306" t="str">
        <f>_xlfn.XLOOKUP(calls[[#This Row],[Customer ID]],customers[Customer ID],customers[Gender])</f>
        <v>Female</v>
      </c>
    </row>
    <row r="307" spans="2:15" x14ac:dyDescent="0.55000000000000004">
      <c r="B307" t="s">
        <v>329</v>
      </c>
      <c r="C307" t="s">
        <v>23</v>
      </c>
      <c r="D307">
        <v>20</v>
      </c>
      <c r="E307" s="16" t="s">
        <v>11</v>
      </c>
      <c r="F307" s="17">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t="str">
        <f>_xlfn.XLOOKUP(calls[[#This Row],[Customer ID]],customers[Customer ID],customers[City])</f>
        <v>Columbus</v>
      </c>
      <c r="N307">
        <f>_xlfn.XLOOKUP(calls[[#This Row],[Customer ID]],customers[Customer ID],customers[Age])</f>
        <v>37</v>
      </c>
      <c r="O307" t="str">
        <f>_xlfn.XLOOKUP(calls[[#This Row],[Customer ID]],customers[Customer ID],customers[Gender])</f>
        <v>Male</v>
      </c>
    </row>
    <row r="308" spans="2:15" x14ac:dyDescent="0.55000000000000004">
      <c r="B308" t="s">
        <v>330</v>
      </c>
      <c r="C308" t="s">
        <v>14</v>
      </c>
      <c r="D308">
        <v>65</v>
      </c>
      <c r="E308" s="16" t="s">
        <v>9</v>
      </c>
      <c r="F308" s="17">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t="str">
        <f>_xlfn.XLOOKUP(calls[[#This Row],[Customer ID]],customers[Customer ID],customers[City])</f>
        <v>Cleveland</v>
      </c>
      <c r="N308">
        <f>_xlfn.XLOOKUP(calls[[#This Row],[Customer ID]],customers[Customer ID],customers[Age])</f>
        <v>37</v>
      </c>
      <c r="O308" t="str">
        <f>_xlfn.XLOOKUP(calls[[#This Row],[Customer ID]],customers[Customer ID],customers[Gender])</f>
        <v>Female</v>
      </c>
    </row>
    <row r="309" spans="2:15" x14ac:dyDescent="0.55000000000000004">
      <c r="B309" t="s">
        <v>331</v>
      </c>
      <c r="C309" t="s">
        <v>16</v>
      </c>
      <c r="D309">
        <v>71</v>
      </c>
      <c r="E309" s="16" t="s">
        <v>10</v>
      </c>
      <c r="F309" s="17">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t="str">
        <f>_xlfn.XLOOKUP(calls[[#This Row],[Customer ID]],customers[Customer ID],customers[City])</f>
        <v>Cincinnati</v>
      </c>
      <c r="N309">
        <f>_xlfn.XLOOKUP(calls[[#This Row],[Customer ID]],customers[Customer ID],customers[Age])</f>
        <v>28</v>
      </c>
      <c r="O309" t="str">
        <f>_xlfn.XLOOKUP(calls[[#This Row],[Customer ID]],customers[Customer ID],customers[Gender])</f>
        <v>Female</v>
      </c>
    </row>
    <row r="310" spans="2:15" x14ac:dyDescent="0.55000000000000004">
      <c r="B310" t="s">
        <v>332</v>
      </c>
      <c r="C310" t="s">
        <v>12</v>
      </c>
      <c r="D310">
        <v>95</v>
      </c>
      <c r="E310" s="16" t="s">
        <v>6</v>
      </c>
      <c r="F310" s="17">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t="str">
        <f>_xlfn.XLOOKUP(calls[[#This Row],[Customer ID]],customers[Customer ID],customers[City])</f>
        <v>Cincinnati</v>
      </c>
      <c r="N310">
        <f>_xlfn.XLOOKUP(calls[[#This Row],[Customer ID]],customers[Customer ID],customers[Age])</f>
        <v>36</v>
      </c>
      <c r="O310" t="str">
        <f>_xlfn.XLOOKUP(calls[[#This Row],[Customer ID]],customers[Customer ID],customers[Gender])</f>
        <v>Male</v>
      </c>
    </row>
    <row r="311" spans="2:15" x14ac:dyDescent="0.55000000000000004">
      <c r="B311" t="s">
        <v>333</v>
      </c>
      <c r="C311" t="s">
        <v>23</v>
      </c>
      <c r="D311">
        <v>81</v>
      </c>
      <c r="E311" s="16" t="s">
        <v>13</v>
      </c>
      <c r="F311" s="17">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t="str">
        <f>_xlfn.XLOOKUP(calls[[#This Row],[Customer ID]],customers[Customer ID],customers[City])</f>
        <v>Columbus</v>
      </c>
      <c r="N311">
        <f>_xlfn.XLOOKUP(calls[[#This Row],[Customer ID]],customers[Customer ID],customers[Age])</f>
        <v>37</v>
      </c>
      <c r="O311" t="str">
        <f>_xlfn.XLOOKUP(calls[[#This Row],[Customer ID]],customers[Customer ID],customers[Gender])</f>
        <v>Male</v>
      </c>
    </row>
    <row r="312" spans="2:15" x14ac:dyDescent="0.55000000000000004">
      <c r="B312" t="s">
        <v>334</v>
      </c>
      <c r="C312" t="s">
        <v>7</v>
      </c>
      <c r="D312">
        <v>137</v>
      </c>
      <c r="E312" s="16" t="s">
        <v>13</v>
      </c>
      <c r="F312" s="17">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t="str">
        <f>_xlfn.XLOOKUP(calls[[#This Row],[Customer ID]],customers[Customer ID],customers[City])</f>
        <v>Columbus</v>
      </c>
      <c r="N312">
        <f>_xlfn.XLOOKUP(calls[[#This Row],[Customer ID]],customers[Customer ID],customers[Age])</f>
        <v>23</v>
      </c>
      <c r="O312" t="str">
        <f>_xlfn.XLOOKUP(calls[[#This Row],[Customer ID]],customers[Customer ID],customers[Gender])</f>
        <v>Male</v>
      </c>
    </row>
    <row r="313" spans="2:15" x14ac:dyDescent="0.55000000000000004">
      <c r="B313" t="s">
        <v>335</v>
      </c>
      <c r="C313" t="s">
        <v>7</v>
      </c>
      <c r="D313">
        <v>40</v>
      </c>
      <c r="E313" s="16" t="s">
        <v>6</v>
      </c>
      <c r="F313" s="17">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t="str">
        <f>_xlfn.XLOOKUP(calls[[#This Row],[Customer ID]],customers[Customer ID],customers[City])</f>
        <v>Columbus</v>
      </c>
      <c r="N313">
        <f>_xlfn.XLOOKUP(calls[[#This Row],[Customer ID]],customers[Customer ID],customers[Age])</f>
        <v>23</v>
      </c>
      <c r="O313" t="str">
        <f>_xlfn.XLOOKUP(calls[[#This Row],[Customer ID]],customers[Customer ID],customers[Gender])</f>
        <v>Male</v>
      </c>
    </row>
    <row r="314" spans="2:15" x14ac:dyDescent="0.55000000000000004">
      <c r="B314" t="s">
        <v>336</v>
      </c>
      <c r="C314" t="s">
        <v>18</v>
      </c>
      <c r="D314">
        <v>111</v>
      </c>
      <c r="E314" s="16" t="s">
        <v>9</v>
      </c>
      <c r="F314" s="17">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t="str">
        <f>_xlfn.XLOOKUP(calls[[#This Row],[Customer ID]],customers[Customer ID],customers[City])</f>
        <v>Cleveland</v>
      </c>
      <c r="N314">
        <f>_xlfn.XLOOKUP(calls[[#This Row],[Customer ID]],customers[Customer ID],customers[Age])</f>
        <v>30</v>
      </c>
      <c r="O314" t="str">
        <f>_xlfn.XLOOKUP(calls[[#This Row],[Customer ID]],customers[Customer ID],customers[Gender])</f>
        <v>Female</v>
      </c>
    </row>
    <row r="315" spans="2:15" x14ac:dyDescent="0.55000000000000004">
      <c r="B315" t="s">
        <v>337</v>
      </c>
      <c r="C315" t="s">
        <v>16</v>
      </c>
      <c r="D315">
        <v>106</v>
      </c>
      <c r="E315" s="16" t="s">
        <v>9</v>
      </c>
      <c r="F315" s="17">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t="str">
        <f>_xlfn.XLOOKUP(calls[[#This Row],[Customer ID]],customers[Customer ID],customers[City])</f>
        <v>Cincinnati</v>
      </c>
      <c r="N315">
        <f>_xlfn.XLOOKUP(calls[[#This Row],[Customer ID]],customers[Customer ID],customers[Age])</f>
        <v>28</v>
      </c>
      <c r="O315" t="str">
        <f>_xlfn.XLOOKUP(calls[[#This Row],[Customer ID]],customers[Customer ID],customers[Gender])</f>
        <v>Female</v>
      </c>
    </row>
    <row r="316" spans="2:15" x14ac:dyDescent="0.55000000000000004">
      <c r="B316" t="s">
        <v>338</v>
      </c>
      <c r="C316" t="s">
        <v>21</v>
      </c>
      <c r="D316">
        <v>133</v>
      </c>
      <c r="E316" s="16" t="s">
        <v>11</v>
      </c>
      <c r="F316" s="17">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t="str">
        <f>_xlfn.XLOOKUP(calls[[#This Row],[Customer ID]],customers[Customer ID],customers[City])</f>
        <v>Columbus</v>
      </c>
      <c r="N316">
        <f>_xlfn.XLOOKUP(calls[[#This Row],[Customer ID]],customers[Customer ID],customers[Age])</f>
        <v>38</v>
      </c>
      <c r="O316" t="str">
        <f>_xlfn.XLOOKUP(calls[[#This Row],[Customer ID]],customers[Customer ID],customers[Gender])</f>
        <v>Female</v>
      </c>
    </row>
    <row r="317" spans="2:15" x14ac:dyDescent="0.55000000000000004">
      <c r="B317" t="s">
        <v>339</v>
      </c>
      <c r="C317" t="s">
        <v>15</v>
      </c>
      <c r="D317">
        <v>38</v>
      </c>
      <c r="E317" s="16" t="s">
        <v>9</v>
      </c>
      <c r="F317" s="17">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t="str">
        <f>_xlfn.XLOOKUP(calls[[#This Row],[Customer ID]],customers[Customer ID],customers[City])</f>
        <v>Cleveland</v>
      </c>
      <c r="N317">
        <f>_xlfn.XLOOKUP(calls[[#This Row],[Customer ID]],customers[Customer ID],customers[Age])</f>
        <v>22</v>
      </c>
      <c r="O317" t="str">
        <f>_xlfn.XLOOKUP(calls[[#This Row],[Customer ID]],customers[Customer ID],customers[Gender])</f>
        <v>Female</v>
      </c>
    </row>
    <row r="318" spans="2:15" x14ac:dyDescent="0.55000000000000004">
      <c r="B318" t="s">
        <v>340</v>
      </c>
      <c r="C318" t="s">
        <v>19</v>
      </c>
      <c r="D318">
        <v>130</v>
      </c>
      <c r="E318" s="16" t="s">
        <v>6</v>
      </c>
      <c r="F318" s="17">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t="str">
        <f>_xlfn.XLOOKUP(calls[[#This Row],[Customer ID]],customers[Customer ID],customers[City])</f>
        <v>Cleveland</v>
      </c>
      <c r="N318">
        <f>_xlfn.XLOOKUP(calls[[#This Row],[Customer ID]],customers[Customer ID],customers[Age])</f>
        <v>43</v>
      </c>
      <c r="O318" t="str">
        <f>_xlfn.XLOOKUP(calls[[#This Row],[Customer ID]],customers[Customer ID],customers[Gender])</f>
        <v>Female</v>
      </c>
    </row>
    <row r="319" spans="2:15" x14ac:dyDescent="0.55000000000000004">
      <c r="B319" t="s">
        <v>341</v>
      </c>
      <c r="C319" t="s">
        <v>14</v>
      </c>
      <c r="D319">
        <v>23</v>
      </c>
      <c r="E319" s="16" t="s">
        <v>11</v>
      </c>
      <c r="F319" s="17">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t="str">
        <f>_xlfn.XLOOKUP(calls[[#This Row],[Customer ID]],customers[Customer ID],customers[City])</f>
        <v>Cleveland</v>
      </c>
      <c r="N319">
        <f>_xlfn.XLOOKUP(calls[[#This Row],[Customer ID]],customers[Customer ID],customers[Age])</f>
        <v>37</v>
      </c>
      <c r="O319" t="str">
        <f>_xlfn.XLOOKUP(calls[[#This Row],[Customer ID]],customers[Customer ID],customers[Gender])</f>
        <v>Female</v>
      </c>
    </row>
    <row r="320" spans="2:15" x14ac:dyDescent="0.55000000000000004">
      <c r="B320" t="s">
        <v>342</v>
      </c>
      <c r="C320" t="s">
        <v>19</v>
      </c>
      <c r="D320">
        <v>124</v>
      </c>
      <c r="E320" s="16" t="s">
        <v>9</v>
      </c>
      <c r="F320" s="17">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t="str">
        <f>_xlfn.XLOOKUP(calls[[#This Row],[Customer ID]],customers[Customer ID],customers[City])</f>
        <v>Cleveland</v>
      </c>
      <c r="N320">
        <f>_xlfn.XLOOKUP(calls[[#This Row],[Customer ID]],customers[Customer ID],customers[Age])</f>
        <v>43</v>
      </c>
      <c r="O320" t="str">
        <f>_xlfn.XLOOKUP(calls[[#This Row],[Customer ID]],customers[Customer ID],customers[Gender])</f>
        <v>Female</v>
      </c>
    </row>
    <row r="321" spans="2:15" x14ac:dyDescent="0.55000000000000004">
      <c r="B321" t="s">
        <v>343</v>
      </c>
      <c r="C321" t="s">
        <v>23</v>
      </c>
      <c r="D321">
        <v>107</v>
      </c>
      <c r="E321" s="16" t="s">
        <v>9</v>
      </c>
      <c r="F321" s="17">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t="str">
        <f>_xlfn.XLOOKUP(calls[[#This Row],[Customer ID]],customers[Customer ID],customers[City])</f>
        <v>Columbus</v>
      </c>
      <c r="N321">
        <f>_xlfn.XLOOKUP(calls[[#This Row],[Customer ID]],customers[Customer ID],customers[Age])</f>
        <v>37</v>
      </c>
      <c r="O321" t="str">
        <f>_xlfn.XLOOKUP(calls[[#This Row],[Customer ID]],customers[Customer ID],customers[Gender])</f>
        <v>Male</v>
      </c>
    </row>
    <row r="322" spans="2:15" x14ac:dyDescent="0.55000000000000004">
      <c r="B322" t="s">
        <v>344</v>
      </c>
      <c r="C322" t="s">
        <v>7</v>
      </c>
      <c r="D322">
        <v>60</v>
      </c>
      <c r="E322" s="16" t="s">
        <v>10</v>
      </c>
      <c r="F322" s="17">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t="str">
        <f>_xlfn.XLOOKUP(calls[[#This Row],[Customer ID]],customers[Customer ID],customers[City])</f>
        <v>Columbus</v>
      </c>
      <c r="N322">
        <f>_xlfn.XLOOKUP(calls[[#This Row],[Customer ID]],customers[Customer ID],customers[Age])</f>
        <v>23</v>
      </c>
      <c r="O322" t="str">
        <f>_xlfn.XLOOKUP(calls[[#This Row],[Customer ID]],customers[Customer ID],customers[Gender])</f>
        <v>Male</v>
      </c>
    </row>
    <row r="323" spans="2:15" x14ac:dyDescent="0.55000000000000004">
      <c r="B323" t="s">
        <v>345</v>
      </c>
      <c r="C323" t="s">
        <v>7</v>
      </c>
      <c r="D323">
        <v>158</v>
      </c>
      <c r="E323" s="16" t="s">
        <v>6</v>
      </c>
      <c r="F323" s="17">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t="str">
        <f>_xlfn.XLOOKUP(calls[[#This Row],[Customer ID]],customers[Customer ID],customers[City])</f>
        <v>Columbus</v>
      </c>
      <c r="N323">
        <f>_xlfn.XLOOKUP(calls[[#This Row],[Customer ID]],customers[Customer ID],customers[Age])</f>
        <v>23</v>
      </c>
      <c r="O323" t="str">
        <f>_xlfn.XLOOKUP(calls[[#This Row],[Customer ID]],customers[Customer ID],customers[Gender])</f>
        <v>Male</v>
      </c>
    </row>
    <row r="324" spans="2:15" x14ac:dyDescent="0.55000000000000004">
      <c r="B324" t="s">
        <v>346</v>
      </c>
      <c r="C324" t="s">
        <v>22</v>
      </c>
      <c r="D324">
        <v>110</v>
      </c>
      <c r="E324" s="16" t="s">
        <v>6</v>
      </c>
      <c r="F324" s="17">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t="str">
        <f>_xlfn.XLOOKUP(calls[[#This Row],[Customer ID]],customers[Customer ID],customers[City])</f>
        <v>Columbus</v>
      </c>
      <c r="N324">
        <f>_xlfn.XLOOKUP(calls[[#This Row],[Customer ID]],customers[Customer ID],customers[Age])</f>
        <v>25</v>
      </c>
      <c r="O324" t="str">
        <f>_xlfn.XLOOKUP(calls[[#This Row],[Customer ID]],customers[Customer ID],customers[Gender])</f>
        <v>Female</v>
      </c>
    </row>
    <row r="325" spans="2:15" x14ac:dyDescent="0.55000000000000004">
      <c r="B325" t="s">
        <v>347</v>
      </c>
      <c r="C325" t="s">
        <v>17</v>
      </c>
      <c r="D325">
        <v>70</v>
      </c>
      <c r="E325" s="16" t="s">
        <v>6</v>
      </c>
      <c r="F325" s="17">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t="str">
        <f>_xlfn.XLOOKUP(calls[[#This Row],[Customer ID]],customers[Customer ID],customers[City])</f>
        <v>Columbus</v>
      </c>
      <c r="N325">
        <f>_xlfn.XLOOKUP(calls[[#This Row],[Customer ID]],customers[Customer ID],customers[Age])</f>
        <v>41</v>
      </c>
      <c r="O325" t="str">
        <f>_xlfn.XLOOKUP(calls[[#This Row],[Customer ID]],customers[Customer ID],customers[Gender])</f>
        <v>Male</v>
      </c>
    </row>
    <row r="326" spans="2:15" x14ac:dyDescent="0.55000000000000004">
      <c r="B326" t="s">
        <v>348</v>
      </c>
      <c r="C326" t="s">
        <v>17</v>
      </c>
      <c r="D326">
        <v>150</v>
      </c>
      <c r="E326" s="16" t="s">
        <v>10</v>
      </c>
      <c r="F326" s="17">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t="str">
        <f>_xlfn.XLOOKUP(calls[[#This Row],[Customer ID]],customers[Customer ID],customers[City])</f>
        <v>Columbus</v>
      </c>
      <c r="N326">
        <f>_xlfn.XLOOKUP(calls[[#This Row],[Customer ID]],customers[Customer ID],customers[Age])</f>
        <v>41</v>
      </c>
      <c r="O326" t="str">
        <f>_xlfn.XLOOKUP(calls[[#This Row],[Customer ID]],customers[Customer ID],customers[Gender])</f>
        <v>Male</v>
      </c>
    </row>
    <row r="327" spans="2:15" x14ac:dyDescent="0.55000000000000004">
      <c r="B327" t="s">
        <v>349</v>
      </c>
      <c r="C327" t="s">
        <v>15</v>
      </c>
      <c r="D327">
        <v>36</v>
      </c>
      <c r="E327" s="16" t="s">
        <v>9</v>
      </c>
      <c r="F327" s="17">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t="str">
        <f>_xlfn.XLOOKUP(calls[[#This Row],[Customer ID]],customers[Customer ID],customers[City])</f>
        <v>Cleveland</v>
      </c>
      <c r="N327">
        <f>_xlfn.XLOOKUP(calls[[#This Row],[Customer ID]],customers[Customer ID],customers[Age])</f>
        <v>22</v>
      </c>
      <c r="O327" t="str">
        <f>_xlfn.XLOOKUP(calls[[#This Row],[Customer ID]],customers[Customer ID],customers[Gender])</f>
        <v>Female</v>
      </c>
    </row>
    <row r="328" spans="2:15" x14ac:dyDescent="0.55000000000000004">
      <c r="B328" t="s">
        <v>350</v>
      </c>
      <c r="C328" t="s">
        <v>19</v>
      </c>
      <c r="D328">
        <v>74</v>
      </c>
      <c r="E328" s="16" t="s">
        <v>9</v>
      </c>
      <c r="F328" s="17">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t="str">
        <f>_xlfn.XLOOKUP(calls[[#This Row],[Customer ID]],customers[Customer ID],customers[City])</f>
        <v>Cleveland</v>
      </c>
      <c r="N328">
        <f>_xlfn.XLOOKUP(calls[[#This Row],[Customer ID]],customers[Customer ID],customers[Age])</f>
        <v>43</v>
      </c>
      <c r="O328" t="str">
        <f>_xlfn.XLOOKUP(calls[[#This Row],[Customer ID]],customers[Customer ID],customers[Gender])</f>
        <v>Female</v>
      </c>
    </row>
    <row r="329" spans="2:15" x14ac:dyDescent="0.55000000000000004">
      <c r="B329" t="s">
        <v>351</v>
      </c>
      <c r="C329" t="s">
        <v>12</v>
      </c>
      <c r="D329">
        <v>75</v>
      </c>
      <c r="E329" s="16" t="s">
        <v>9</v>
      </c>
      <c r="F329" s="17">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t="str">
        <f>_xlfn.XLOOKUP(calls[[#This Row],[Customer ID]],customers[Customer ID],customers[City])</f>
        <v>Cincinnati</v>
      </c>
      <c r="N329">
        <f>_xlfn.XLOOKUP(calls[[#This Row],[Customer ID]],customers[Customer ID],customers[Age])</f>
        <v>36</v>
      </c>
      <c r="O329" t="str">
        <f>_xlfn.XLOOKUP(calls[[#This Row],[Customer ID]],customers[Customer ID],customers[Gender])</f>
        <v>Male</v>
      </c>
    </row>
    <row r="330" spans="2:15" x14ac:dyDescent="0.55000000000000004">
      <c r="B330" t="s">
        <v>352</v>
      </c>
      <c r="C330" t="s">
        <v>5</v>
      </c>
      <c r="D330">
        <v>70</v>
      </c>
      <c r="E330" s="16" t="s">
        <v>13</v>
      </c>
      <c r="F330" s="17">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t="str">
        <f>_xlfn.XLOOKUP(calls[[#This Row],[Customer ID]],customers[Customer ID],customers[City])</f>
        <v>Cleveland</v>
      </c>
      <c r="N330">
        <f>_xlfn.XLOOKUP(calls[[#This Row],[Customer ID]],customers[Customer ID],customers[Age])</f>
        <v>42</v>
      </c>
      <c r="O330" t="str">
        <f>_xlfn.XLOOKUP(calls[[#This Row],[Customer ID]],customers[Customer ID],customers[Gender])</f>
        <v>Female</v>
      </c>
    </row>
    <row r="331" spans="2:15" x14ac:dyDescent="0.55000000000000004">
      <c r="B331" t="s">
        <v>353</v>
      </c>
      <c r="C331" t="s">
        <v>22</v>
      </c>
      <c r="D331">
        <v>23</v>
      </c>
      <c r="E331" s="16" t="s">
        <v>6</v>
      </c>
      <c r="F331" s="17">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t="str">
        <f>_xlfn.XLOOKUP(calls[[#This Row],[Customer ID]],customers[Customer ID],customers[City])</f>
        <v>Columbus</v>
      </c>
      <c r="N331">
        <f>_xlfn.XLOOKUP(calls[[#This Row],[Customer ID]],customers[Customer ID],customers[Age])</f>
        <v>25</v>
      </c>
      <c r="O331" t="str">
        <f>_xlfn.XLOOKUP(calls[[#This Row],[Customer ID]],customers[Customer ID],customers[Gender])</f>
        <v>Female</v>
      </c>
    </row>
    <row r="332" spans="2:15" x14ac:dyDescent="0.55000000000000004">
      <c r="B332" t="s">
        <v>354</v>
      </c>
      <c r="C332" t="s">
        <v>18</v>
      </c>
      <c r="D332">
        <v>104</v>
      </c>
      <c r="E332" s="16" t="s">
        <v>11</v>
      </c>
      <c r="F332" s="17">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t="str">
        <f>_xlfn.XLOOKUP(calls[[#This Row],[Customer ID]],customers[Customer ID],customers[City])</f>
        <v>Cleveland</v>
      </c>
      <c r="N332">
        <f>_xlfn.XLOOKUP(calls[[#This Row],[Customer ID]],customers[Customer ID],customers[Age])</f>
        <v>30</v>
      </c>
      <c r="O332" t="str">
        <f>_xlfn.XLOOKUP(calls[[#This Row],[Customer ID]],customers[Customer ID],customers[Gender])</f>
        <v>Female</v>
      </c>
    </row>
    <row r="333" spans="2:15" x14ac:dyDescent="0.55000000000000004">
      <c r="B333" t="s">
        <v>355</v>
      </c>
      <c r="C333" t="s">
        <v>17</v>
      </c>
      <c r="D333">
        <v>95</v>
      </c>
      <c r="E333" s="16" t="s">
        <v>13</v>
      </c>
      <c r="F333" s="17">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t="str">
        <f>_xlfn.XLOOKUP(calls[[#This Row],[Customer ID]],customers[Customer ID],customers[City])</f>
        <v>Columbus</v>
      </c>
      <c r="N333">
        <f>_xlfn.XLOOKUP(calls[[#This Row],[Customer ID]],customers[Customer ID],customers[Age])</f>
        <v>41</v>
      </c>
      <c r="O333" t="str">
        <f>_xlfn.XLOOKUP(calls[[#This Row],[Customer ID]],customers[Customer ID],customers[Gender])</f>
        <v>Male</v>
      </c>
    </row>
    <row r="334" spans="2:15" x14ac:dyDescent="0.55000000000000004">
      <c r="B334" t="s">
        <v>356</v>
      </c>
      <c r="C334" t="s">
        <v>8</v>
      </c>
      <c r="D334">
        <v>49</v>
      </c>
      <c r="E334" s="16" t="s">
        <v>10</v>
      </c>
      <c r="F334" s="17">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t="str">
        <f>_xlfn.XLOOKUP(calls[[#This Row],[Customer ID]],customers[Customer ID],customers[City])</f>
        <v>Cincinnati</v>
      </c>
      <c r="N334">
        <f>_xlfn.XLOOKUP(calls[[#This Row],[Customer ID]],customers[Customer ID],customers[Age])</f>
        <v>30</v>
      </c>
      <c r="O334" t="str">
        <f>_xlfn.XLOOKUP(calls[[#This Row],[Customer ID]],customers[Customer ID],customers[Gender])</f>
        <v>Female</v>
      </c>
    </row>
    <row r="335" spans="2:15" x14ac:dyDescent="0.55000000000000004">
      <c r="B335" t="s">
        <v>357</v>
      </c>
      <c r="C335" t="s">
        <v>16</v>
      </c>
      <c r="D335">
        <v>8</v>
      </c>
      <c r="E335" s="16" t="s">
        <v>6</v>
      </c>
      <c r="F335" s="17">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t="str">
        <f>_xlfn.XLOOKUP(calls[[#This Row],[Customer ID]],customers[Customer ID],customers[City])</f>
        <v>Cincinnati</v>
      </c>
      <c r="N335">
        <f>_xlfn.XLOOKUP(calls[[#This Row],[Customer ID]],customers[Customer ID],customers[Age])</f>
        <v>28</v>
      </c>
      <c r="O335" t="str">
        <f>_xlfn.XLOOKUP(calls[[#This Row],[Customer ID]],customers[Customer ID],customers[Gender])</f>
        <v>Female</v>
      </c>
    </row>
    <row r="336" spans="2:15" x14ac:dyDescent="0.55000000000000004">
      <c r="B336" t="s">
        <v>358</v>
      </c>
      <c r="C336" t="s">
        <v>17</v>
      </c>
      <c r="D336">
        <v>157</v>
      </c>
      <c r="E336" s="16" t="s">
        <v>10</v>
      </c>
      <c r="F336" s="17">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t="str">
        <f>_xlfn.XLOOKUP(calls[[#This Row],[Customer ID]],customers[Customer ID],customers[City])</f>
        <v>Columbus</v>
      </c>
      <c r="N336">
        <f>_xlfn.XLOOKUP(calls[[#This Row],[Customer ID]],customers[Customer ID],customers[Age])</f>
        <v>41</v>
      </c>
      <c r="O336" t="str">
        <f>_xlfn.XLOOKUP(calls[[#This Row],[Customer ID]],customers[Customer ID],customers[Gender])</f>
        <v>Male</v>
      </c>
    </row>
    <row r="337" spans="2:15" x14ac:dyDescent="0.55000000000000004">
      <c r="B337" t="s">
        <v>359</v>
      </c>
      <c r="C337" t="s">
        <v>23</v>
      </c>
      <c r="D337">
        <v>74</v>
      </c>
      <c r="E337" s="16" t="s">
        <v>9</v>
      </c>
      <c r="F337" s="17">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t="str">
        <f>_xlfn.XLOOKUP(calls[[#This Row],[Customer ID]],customers[Customer ID],customers[City])</f>
        <v>Columbus</v>
      </c>
      <c r="N337">
        <f>_xlfn.XLOOKUP(calls[[#This Row],[Customer ID]],customers[Customer ID],customers[Age])</f>
        <v>37</v>
      </c>
      <c r="O337" t="str">
        <f>_xlfn.XLOOKUP(calls[[#This Row],[Customer ID]],customers[Customer ID],customers[Gender])</f>
        <v>Male</v>
      </c>
    </row>
    <row r="338" spans="2:15" x14ac:dyDescent="0.55000000000000004">
      <c r="B338" t="s">
        <v>360</v>
      </c>
      <c r="C338" t="s">
        <v>22</v>
      </c>
      <c r="D338">
        <v>72</v>
      </c>
      <c r="E338" s="16" t="s">
        <v>13</v>
      </c>
      <c r="F338" s="17">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t="str">
        <f>_xlfn.XLOOKUP(calls[[#This Row],[Customer ID]],customers[Customer ID],customers[City])</f>
        <v>Columbus</v>
      </c>
      <c r="N338">
        <f>_xlfn.XLOOKUP(calls[[#This Row],[Customer ID]],customers[Customer ID],customers[Age])</f>
        <v>25</v>
      </c>
      <c r="O338" t="str">
        <f>_xlfn.XLOOKUP(calls[[#This Row],[Customer ID]],customers[Customer ID],customers[Gender])</f>
        <v>Female</v>
      </c>
    </row>
    <row r="339" spans="2:15" x14ac:dyDescent="0.55000000000000004">
      <c r="B339" t="s">
        <v>361</v>
      </c>
      <c r="C339" t="s">
        <v>23</v>
      </c>
      <c r="D339">
        <v>79</v>
      </c>
      <c r="E339" s="16" t="s">
        <v>9</v>
      </c>
      <c r="F339" s="17">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t="str">
        <f>_xlfn.XLOOKUP(calls[[#This Row],[Customer ID]],customers[Customer ID],customers[City])</f>
        <v>Columbus</v>
      </c>
      <c r="N339">
        <f>_xlfn.XLOOKUP(calls[[#This Row],[Customer ID]],customers[Customer ID],customers[Age])</f>
        <v>37</v>
      </c>
      <c r="O339" t="str">
        <f>_xlfn.XLOOKUP(calls[[#This Row],[Customer ID]],customers[Customer ID],customers[Gender])</f>
        <v>Male</v>
      </c>
    </row>
    <row r="340" spans="2:15" x14ac:dyDescent="0.55000000000000004">
      <c r="B340" t="s">
        <v>362</v>
      </c>
      <c r="C340" t="s">
        <v>19</v>
      </c>
      <c r="D340">
        <v>23</v>
      </c>
      <c r="E340" s="16" t="s">
        <v>9</v>
      </c>
      <c r="F340" s="17">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t="str">
        <f>_xlfn.XLOOKUP(calls[[#This Row],[Customer ID]],customers[Customer ID],customers[City])</f>
        <v>Cleveland</v>
      </c>
      <c r="N340">
        <f>_xlfn.XLOOKUP(calls[[#This Row],[Customer ID]],customers[Customer ID],customers[Age])</f>
        <v>43</v>
      </c>
      <c r="O340" t="str">
        <f>_xlfn.XLOOKUP(calls[[#This Row],[Customer ID]],customers[Customer ID],customers[Gender])</f>
        <v>Female</v>
      </c>
    </row>
    <row r="341" spans="2:15" x14ac:dyDescent="0.55000000000000004">
      <c r="B341" t="s">
        <v>363</v>
      </c>
      <c r="C341" t="s">
        <v>12</v>
      </c>
      <c r="D341">
        <v>69</v>
      </c>
      <c r="E341" s="16" t="s">
        <v>9</v>
      </c>
      <c r="F341" s="17">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t="str">
        <f>_xlfn.XLOOKUP(calls[[#This Row],[Customer ID]],customers[Customer ID],customers[City])</f>
        <v>Cincinnati</v>
      </c>
      <c r="N341">
        <f>_xlfn.XLOOKUP(calls[[#This Row],[Customer ID]],customers[Customer ID],customers[Age])</f>
        <v>36</v>
      </c>
      <c r="O341" t="str">
        <f>_xlfn.XLOOKUP(calls[[#This Row],[Customer ID]],customers[Customer ID],customers[Gender])</f>
        <v>Male</v>
      </c>
    </row>
    <row r="342" spans="2:15" x14ac:dyDescent="0.55000000000000004">
      <c r="B342" t="s">
        <v>364</v>
      </c>
      <c r="C342" t="s">
        <v>7</v>
      </c>
      <c r="D342">
        <v>64</v>
      </c>
      <c r="E342" s="16" t="s">
        <v>9</v>
      </c>
      <c r="F342" s="17">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t="str">
        <f>_xlfn.XLOOKUP(calls[[#This Row],[Customer ID]],customers[Customer ID],customers[City])</f>
        <v>Columbus</v>
      </c>
      <c r="N342">
        <f>_xlfn.XLOOKUP(calls[[#This Row],[Customer ID]],customers[Customer ID],customers[Age])</f>
        <v>23</v>
      </c>
      <c r="O342" t="str">
        <f>_xlfn.XLOOKUP(calls[[#This Row],[Customer ID]],customers[Customer ID],customers[Gender])</f>
        <v>Male</v>
      </c>
    </row>
    <row r="343" spans="2:15" x14ac:dyDescent="0.55000000000000004">
      <c r="B343" t="s">
        <v>365</v>
      </c>
      <c r="C343" t="s">
        <v>24</v>
      </c>
      <c r="D343">
        <v>47</v>
      </c>
      <c r="E343" s="16" t="s">
        <v>10</v>
      </c>
      <c r="F343" s="17">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t="str">
        <f>_xlfn.XLOOKUP(calls[[#This Row],[Customer ID]],customers[Customer ID],customers[City])</f>
        <v>Cleveland</v>
      </c>
      <c r="N343">
        <f>_xlfn.XLOOKUP(calls[[#This Row],[Customer ID]],customers[Customer ID],customers[Age])</f>
        <v>31</v>
      </c>
      <c r="O343" t="str">
        <f>_xlfn.XLOOKUP(calls[[#This Row],[Customer ID]],customers[Customer ID],customers[Gender])</f>
        <v>Male</v>
      </c>
    </row>
    <row r="344" spans="2:15" x14ac:dyDescent="0.55000000000000004">
      <c r="B344" t="s">
        <v>366</v>
      </c>
      <c r="C344" t="s">
        <v>23</v>
      </c>
      <c r="D344">
        <v>55</v>
      </c>
      <c r="E344" s="16" t="s">
        <v>13</v>
      </c>
      <c r="F344" s="17">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t="str">
        <f>_xlfn.XLOOKUP(calls[[#This Row],[Customer ID]],customers[Customer ID],customers[City])</f>
        <v>Columbus</v>
      </c>
      <c r="N344">
        <f>_xlfn.XLOOKUP(calls[[#This Row],[Customer ID]],customers[Customer ID],customers[Age])</f>
        <v>37</v>
      </c>
      <c r="O344" t="str">
        <f>_xlfn.XLOOKUP(calls[[#This Row],[Customer ID]],customers[Customer ID],customers[Gender])</f>
        <v>Male</v>
      </c>
    </row>
    <row r="345" spans="2:15" x14ac:dyDescent="0.55000000000000004">
      <c r="B345" t="s">
        <v>367</v>
      </c>
      <c r="C345" t="s">
        <v>18</v>
      </c>
      <c r="D345">
        <v>104</v>
      </c>
      <c r="E345" s="16" t="s">
        <v>13</v>
      </c>
      <c r="F345" s="17">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t="str">
        <f>_xlfn.XLOOKUP(calls[[#This Row],[Customer ID]],customers[Customer ID],customers[City])</f>
        <v>Cleveland</v>
      </c>
      <c r="N345">
        <f>_xlfn.XLOOKUP(calls[[#This Row],[Customer ID]],customers[Customer ID],customers[Age])</f>
        <v>30</v>
      </c>
      <c r="O345" t="str">
        <f>_xlfn.XLOOKUP(calls[[#This Row],[Customer ID]],customers[Customer ID],customers[Gender])</f>
        <v>Female</v>
      </c>
    </row>
    <row r="346" spans="2:15" x14ac:dyDescent="0.55000000000000004">
      <c r="B346" t="s">
        <v>368</v>
      </c>
      <c r="C346" t="s">
        <v>24</v>
      </c>
      <c r="D346">
        <v>116</v>
      </c>
      <c r="E346" s="16" t="s">
        <v>9</v>
      </c>
      <c r="F346" s="17">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t="str">
        <f>_xlfn.XLOOKUP(calls[[#This Row],[Customer ID]],customers[Customer ID],customers[City])</f>
        <v>Cleveland</v>
      </c>
      <c r="N346">
        <f>_xlfn.XLOOKUP(calls[[#This Row],[Customer ID]],customers[Customer ID],customers[Age])</f>
        <v>31</v>
      </c>
      <c r="O346" t="str">
        <f>_xlfn.XLOOKUP(calls[[#This Row],[Customer ID]],customers[Customer ID],customers[Gender])</f>
        <v>Male</v>
      </c>
    </row>
    <row r="347" spans="2:15" x14ac:dyDescent="0.55000000000000004">
      <c r="B347" t="s">
        <v>369</v>
      </c>
      <c r="C347" t="s">
        <v>19</v>
      </c>
      <c r="D347">
        <v>99</v>
      </c>
      <c r="E347" s="16" t="s">
        <v>13</v>
      </c>
      <c r="F347" s="17">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t="str">
        <f>_xlfn.XLOOKUP(calls[[#This Row],[Customer ID]],customers[Customer ID],customers[City])</f>
        <v>Cleveland</v>
      </c>
      <c r="N347">
        <f>_xlfn.XLOOKUP(calls[[#This Row],[Customer ID]],customers[Customer ID],customers[Age])</f>
        <v>43</v>
      </c>
      <c r="O347" t="str">
        <f>_xlfn.XLOOKUP(calls[[#This Row],[Customer ID]],customers[Customer ID],customers[Gender])</f>
        <v>Female</v>
      </c>
    </row>
    <row r="348" spans="2:15" x14ac:dyDescent="0.55000000000000004">
      <c r="B348" t="s">
        <v>370</v>
      </c>
      <c r="C348" t="s">
        <v>18</v>
      </c>
      <c r="D348">
        <v>84</v>
      </c>
      <c r="E348" s="16" t="s">
        <v>13</v>
      </c>
      <c r="F348" s="17">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t="str">
        <f>_xlfn.XLOOKUP(calls[[#This Row],[Customer ID]],customers[Customer ID],customers[City])</f>
        <v>Cleveland</v>
      </c>
      <c r="N348">
        <f>_xlfn.XLOOKUP(calls[[#This Row],[Customer ID]],customers[Customer ID],customers[Age])</f>
        <v>30</v>
      </c>
      <c r="O348" t="str">
        <f>_xlfn.XLOOKUP(calls[[#This Row],[Customer ID]],customers[Customer ID],customers[Gender])</f>
        <v>Female</v>
      </c>
    </row>
    <row r="349" spans="2:15" x14ac:dyDescent="0.55000000000000004">
      <c r="B349" t="s">
        <v>371</v>
      </c>
      <c r="C349" t="s">
        <v>16</v>
      </c>
      <c r="D349">
        <v>159</v>
      </c>
      <c r="E349" s="16" t="s">
        <v>13</v>
      </c>
      <c r="F349" s="17">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t="str">
        <f>_xlfn.XLOOKUP(calls[[#This Row],[Customer ID]],customers[Customer ID],customers[City])</f>
        <v>Cincinnati</v>
      </c>
      <c r="N349">
        <f>_xlfn.XLOOKUP(calls[[#This Row],[Customer ID]],customers[Customer ID],customers[Age])</f>
        <v>28</v>
      </c>
      <c r="O349" t="str">
        <f>_xlfn.XLOOKUP(calls[[#This Row],[Customer ID]],customers[Customer ID],customers[Gender])</f>
        <v>Female</v>
      </c>
    </row>
    <row r="350" spans="2:15" x14ac:dyDescent="0.55000000000000004">
      <c r="B350" t="s">
        <v>372</v>
      </c>
      <c r="C350" t="s">
        <v>15</v>
      </c>
      <c r="D350">
        <v>25</v>
      </c>
      <c r="E350" s="16" t="s">
        <v>10</v>
      </c>
      <c r="F350" s="17">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t="str">
        <f>_xlfn.XLOOKUP(calls[[#This Row],[Customer ID]],customers[Customer ID],customers[City])</f>
        <v>Cleveland</v>
      </c>
      <c r="N350">
        <f>_xlfn.XLOOKUP(calls[[#This Row],[Customer ID]],customers[Customer ID],customers[Age])</f>
        <v>22</v>
      </c>
      <c r="O350" t="str">
        <f>_xlfn.XLOOKUP(calls[[#This Row],[Customer ID]],customers[Customer ID],customers[Gender])</f>
        <v>Female</v>
      </c>
    </row>
    <row r="351" spans="2:15" x14ac:dyDescent="0.55000000000000004">
      <c r="B351" t="s">
        <v>373</v>
      </c>
      <c r="C351" t="s">
        <v>16</v>
      </c>
      <c r="D351">
        <v>53</v>
      </c>
      <c r="E351" s="16" t="s">
        <v>6</v>
      </c>
      <c r="F351" s="17">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t="str">
        <f>_xlfn.XLOOKUP(calls[[#This Row],[Customer ID]],customers[Customer ID],customers[City])</f>
        <v>Cincinnati</v>
      </c>
      <c r="N351">
        <f>_xlfn.XLOOKUP(calls[[#This Row],[Customer ID]],customers[Customer ID],customers[Age])</f>
        <v>28</v>
      </c>
      <c r="O351" t="str">
        <f>_xlfn.XLOOKUP(calls[[#This Row],[Customer ID]],customers[Customer ID],customers[Gender])</f>
        <v>Female</v>
      </c>
    </row>
    <row r="352" spans="2:15" x14ac:dyDescent="0.55000000000000004">
      <c r="B352" t="s">
        <v>374</v>
      </c>
      <c r="C352" t="s">
        <v>16</v>
      </c>
      <c r="D352">
        <v>89</v>
      </c>
      <c r="E352" s="16" t="s">
        <v>10</v>
      </c>
      <c r="F352" s="17">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t="str">
        <f>_xlfn.XLOOKUP(calls[[#This Row],[Customer ID]],customers[Customer ID],customers[City])</f>
        <v>Cincinnati</v>
      </c>
      <c r="N352">
        <f>_xlfn.XLOOKUP(calls[[#This Row],[Customer ID]],customers[Customer ID],customers[Age])</f>
        <v>28</v>
      </c>
      <c r="O352" t="str">
        <f>_xlfn.XLOOKUP(calls[[#This Row],[Customer ID]],customers[Customer ID],customers[Gender])</f>
        <v>Female</v>
      </c>
    </row>
    <row r="353" spans="2:15" x14ac:dyDescent="0.55000000000000004">
      <c r="B353" t="s">
        <v>375</v>
      </c>
      <c r="C353" t="s">
        <v>21</v>
      </c>
      <c r="D353">
        <v>73</v>
      </c>
      <c r="E353" s="16" t="s">
        <v>9</v>
      </c>
      <c r="F353" s="17">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t="str">
        <f>_xlfn.XLOOKUP(calls[[#This Row],[Customer ID]],customers[Customer ID],customers[City])</f>
        <v>Columbus</v>
      </c>
      <c r="N353">
        <f>_xlfn.XLOOKUP(calls[[#This Row],[Customer ID]],customers[Customer ID],customers[Age])</f>
        <v>38</v>
      </c>
      <c r="O353" t="str">
        <f>_xlfn.XLOOKUP(calls[[#This Row],[Customer ID]],customers[Customer ID],customers[Gender])</f>
        <v>Female</v>
      </c>
    </row>
    <row r="354" spans="2:15" x14ac:dyDescent="0.55000000000000004">
      <c r="B354" t="s">
        <v>376</v>
      </c>
      <c r="C354" t="s">
        <v>19</v>
      </c>
      <c r="D354">
        <v>50</v>
      </c>
      <c r="E354" s="16" t="s">
        <v>9</v>
      </c>
      <c r="F354" s="17">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t="str">
        <f>_xlfn.XLOOKUP(calls[[#This Row],[Customer ID]],customers[Customer ID],customers[City])</f>
        <v>Cleveland</v>
      </c>
      <c r="N354">
        <f>_xlfn.XLOOKUP(calls[[#This Row],[Customer ID]],customers[Customer ID],customers[Age])</f>
        <v>43</v>
      </c>
      <c r="O354" t="str">
        <f>_xlfn.XLOOKUP(calls[[#This Row],[Customer ID]],customers[Customer ID],customers[Gender])</f>
        <v>Female</v>
      </c>
    </row>
    <row r="355" spans="2:15" x14ac:dyDescent="0.55000000000000004">
      <c r="B355" t="s">
        <v>377</v>
      </c>
      <c r="C355" t="s">
        <v>8</v>
      </c>
      <c r="D355">
        <v>98</v>
      </c>
      <c r="E355" s="16" t="s">
        <v>9</v>
      </c>
      <c r="F355" s="17">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t="str">
        <f>_xlfn.XLOOKUP(calls[[#This Row],[Customer ID]],customers[Customer ID],customers[City])</f>
        <v>Cincinnati</v>
      </c>
      <c r="N355">
        <f>_xlfn.XLOOKUP(calls[[#This Row],[Customer ID]],customers[Customer ID],customers[Age])</f>
        <v>30</v>
      </c>
      <c r="O355" t="str">
        <f>_xlfn.XLOOKUP(calls[[#This Row],[Customer ID]],customers[Customer ID],customers[Gender])</f>
        <v>Female</v>
      </c>
    </row>
    <row r="356" spans="2:15" x14ac:dyDescent="0.55000000000000004">
      <c r="B356" t="s">
        <v>378</v>
      </c>
      <c r="C356" t="s">
        <v>14</v>
      </c>
      <c r="D356">
        <v>114</v>
      </c>
      <c r="E356" s="16" t="s">
        <v>13</v>
      </c>
      <c r="F356" s="17">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t="str">
        <f>_xlfn.XLOOKUP(calls[[#This Row],[Customer ID]],customers[Customer ID],customers[City])</f>
        <v>Cleveland</v>
      </c>
      <c r="N356">
        <f>_xlfn.XLOOKUP(calls[[#This Row],[Customer ID]],customers[Customer ID],customers[Age])</f>
        <v>37</v>
      </c>
      <c r="O356" t="str">
        <f>_xlfn.XLOOKUP(calls[[#This Row],[Customer ID]],customers[Customer ID],customers[Gender])</f>
        <v>Female</v>
      </c>
    </row>
    <row r="357" spans="2:15" x14ac:dyDescent="0.55000000000000004">
      <c r="B357" t="s">
        <v>379</v>
      </c>
      <c r="C357" t="s">
        <v>7</v>
      </c>
      <c r="D357">
        <v>67</v>
      </c>
      <c r="E357" s="16" t="s">
        <v>13</v>
      </c>
      <c r="F357" s="17">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t="str">
        <f>_xlfn.XLOOKUP(calls[[#This Row],[Customer ID]],customers[Customer ID],customers[City])</f>
        <v>Columbus</v>
      </c>
      <c r="N357">
        <f>_xlfn.XLOOKUP(calls[[#This Row],[Customer ID]],customers[Customer ID],customers[Age])</f>
        <v>23</v>
      </c>
      <c r="O357" t="str">
        <f>_xlfn.XLOOKUP(calls[[#This Row],[Customer ID]],customers[Customer ID],customers[Gender])</f>
        <v>Male</v>
      </c>
    </row>
    <row r="358" spans="2:15" x14ac:dyDescent="0.55000000000000004">
      <c r="B358" t="s">
        <v>380</v>
      </c>
      <c r="C358" t="s">
        <v>23</v>
      </c>
      <c r="D358">
        <v>91</v>
      </c>
      <c r="E358" s="16" t="s">
        <v>9</v>
      </c>
      <c r="F358" s="17">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t="str">
        <f>_xlfn.XLOOKUP(calls[[#This Row],[Customer ID]],customers[Customer ID],customers[City])</f>
        <v>Columbus</v>
      </c>
      <c r="N358">
        <f>_xlfn.XLOOKUP(calls[[#This Row],[Customer ID]],customers[Customer ID],customers[Age])</f>
        <v>37</v>
      </c>
      <c r="O358" t="str">
        <f>_xlfn.XLOOKUP(calls[[#This Row],[Customer ID]],customers[Customer ID],customers[Gender])</f>
        <v>Male</v>
      </c>
    </row>
    <row r="359" spans="2:15" x14ac:dyDescent="0.55000000000000004">
      <c r="B359" t="s">
        <v>381</v>
      </c>
      <c r="C359" t="s">
        <v>5</v>
      </c>
      <c r="D359">
        <v>67</v>
      </c>
      <c r="E359" s="16" t="s">
        <v>9</v>
      </c>
      <c r="F359" s="17">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t="str">
        <f>_xlfn.XLOOKUP(calls[[#This Row],[Customer ID]],customers[Customer ID],customers[City])</f>
        <v>Cleveland</v>
      </c>
      <c r="N359">
        <f>_xlfn.XLOOKUP(calls[[#This Row],[Customer ID]],customers[Customer ID],customers[Age])</f>
        <v>42</v>
      </c>
      <c r="O359" t="str">
        <f>_xlfn.XLOOKUP(calls[[#This Row],[Customer ID]],customers[Customer ID],customers[Gender])</f>
        <v>Female</v>
      </c>
    </row>
    <row r="360" spans="2:15" x14ac:dyDescent="0.55000000000000004">
      <c r="B360" t="s">
        <v>382</v>
      </c>
      <c r="C360" t="s">
        <v>14</v>
      </c>
      <c r="D360">
        <v>139</v>
      </c>
      <c r="E360" s="16" t="s">
        <v>10</v>
      </c>
      <c r="F360" s="17">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t="str">
        <f>_xlfn.XLOOKUP(calls[[#This Row],[Customer ID]],customers[Customer ID],customers[City])</f>
        <v>Cleveland</v>
      </c>
      <c r="N360">
        <f>_xlfn.XLOOKUP(calls[[#This Row],[Customer ID]],customers[Customer ID],customers[Age])</f>
        <v>37</v>
      </c>
      <c r="O360" t="str">
        <f>_xlfn.XLOOKUP(calls[[#This Row],[Customer ID]],customers[Customer ID],customers[Gender])</f>
        <v>Female</v>
      </c>
    </row>
    <row r="361" spans="2:15" x14ac:dyDescent="0.55000000000000004">
      <c r="B361" t="s">
        <v>383</v>
      </c>
      <c r="C361" t="s">
        <v>5</v>
      </c>
      <c r="D361">
        <v>102</v>
      </c>
      <c r="E361" s="16" t="s">
        <v>10</v>
      </c>
      <c r="F361" s="17">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t="str">
        <f>_xlfn.XLOOKUP(calls[[#This Row],[Customer ID]],customers[Customer ID],customers[City])</f>
        <v>Cleveland</v>
      </c>
      <c r="N361">
        <f>_xlfn.XLOOKUP(calls[[#This Row],[Customer ID]],customers[Customer ID],customers[Age])</f>
        <v>42</v>
      </c>
      <c r="O361" t="str">
        <f>_xlfn.XLOOKUP(calls[[#This Row],[Customer ID]],customers[Customer ID],customers[Gender])</f>
        <v>Female</v>
      </c>
    </row>
    <row r="362" spans="2:15" x14ac:dyDescent="0.55000000000000004">
      <c r="B362" t="s">
        <v>384</v>
      </c>
      <c r="C362" t="s">
        <v>17</v>
      </c>
      <c r="D362">
        <v>108</v>
      </c>
      <c r="E362" s="16" t="s">
        <v>11</v>
      </c>
      <c r="F362" s="17">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t="str">
        <f>_xlfn.XLOOKUP(calls[[#This Row],[Customer ID]],customers[Customer ID],customers[City])</f>
        <v>Columbus</v>
      </c>
      <c r="N362">
        <f>_xlfn.XLOOKUP(calls[[#This Row],[Customer ID]],customers[Customer ID],customers[Age])</f>
        <v>41</v>
      </c>
      <c r="O362" t="str">
        <f>_xlfn.XLOOKUP(calls[[#This Row],[Customer ID]],customers[Customer ID],customers[Gender])</f>
        <v>Male</v>
      </c>
    </row>
    <row r="363" spans="2:15" x14ac:dyDescent="0.55000000000000004">
      <c r="B363" t="s">
        <v>385</v>
      </c>
      <c r="C363" t="s">
        <v>15</v>
      </c>
      <c r="D363">
        <v>66</v>
      </c>
      <c r="E363" s="16" t="s">
        <v>9</v>
      </c>
      <c r="F363" s="17">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t="str">
        <f>_xlfn.XLOOKUP(calls[[#This Row],[Customer ID]],customers[Customer ID],customers[City])</f>
        <v>Cleveland</v>
      </c>
      <c r="N363">
        <f>_xlfn.XLOOKUP(calls[[#This Row],[Customer ID]],customers[Customer ID],customers[Age])</f>
        <v>22</v>
      </c>
      <c r="O363" t="str">
        <f>_xlfn.XLOOKUP(calls[[#This Row],[Customer ID]],customers[Customer ID],customers[Gender])</f>
        <v>Female</v>
      </c>
    </row>
    <row r="364" spans="2:15" x14ac:dyDescent="0.55000000000000004">
      <c r="B364" t="s">
        <v>386</v>
      </c>
      <c r="C364" t="s">
        <v>22</v>
      </c>
      <c r="D364">
        <v>85</v>
      </c>
      <c r="E364" s="16" t="s">
        <v>10</v>
      </c>
      <c r="F364" s="17">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t="str">
        <f>_xlfn.XLOOKUP(calls[[#This Row],[Customer ID]],customers[Customer ID],customers[City])</f>
        <v>Columbus</v>
      </c>
      <c r="N364">
        <f>_xlfn.XLOOKUP(calls[[#This Row],[Customer ID]],customers[Customer ID],customers[Age])</f>
        <v>25</v>
      </c>
      <c r="O364" t="str">
        <f>_xlfn.XLOOKUP(calls[[#This Row],[Customer ID]],customers[Customer ID],customers[Gender])</f>
        <v>Female</v>
      </c>
    </row>
    <row r="365" spans="2:15" x14ac:dyDescent="0.55000000000000004">
      <c r="B365" t="s">
        <v>387</v>
      </c>
      <c r="C365" t="s">
        <v>7</v>
      </c>
      <c r="D365">
        <v>55</v>
      </c>
      <c r="E365" s="16" t="s">
        <v>11</v>
      </c>
      <c r="F365" s="17">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t="str">
        <f>_xlfn.XLOOKUP(calls[[#This Row],[Customer ID]],customers[Customer ID],customers[City])</f>
        <v>Columbus</v>
      </c>
      <c r="N365">
        <f>_xlfn.XLOOKUP(calls[[#This Row],[Customer ID]],customers[Customer ID],customers[Age])</f>
        <v>23</v>
      </c>
      <c r="O365" t="str">
        <f>_xlfn.XLOOKUP(calls[[#This Row],[Customer ID]],customers[Customer ID],customers[Gender])</f>
        <v>Male</v>
      </c>
    </row>
    <row r="366" spans="2:15" x14ac:dyDescent="0.55000000000000004">
      <c r="B366" t="s">
        <v>388</v>
      </c>
      <c r="C366" t="s">
        <v>17</v>
      </c>
      <c r="D366">
        <v>17</v>
      </c>
      <c r="E366" s="16" t="s">
        <v>6</v>
      </c>
      <c r="F366" s="17">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t="str">
        <f>_xlfn.XLOOKUP(calls[[#This Row],[Customer ID]],customers[Customer ID],customers[City])</f>
        <v>Columbus</v>
      </c>
      <c r="N366">
        <f>_xlfn.XLOOKUP(calls[[#This Row],[Customer ID]],customers[Customer ID],customers[Age])</f>
        <v>41</v>
      </c>
      <c r="O366" t="str">
        <f>_xlfn.XLOOKUP(calls[[#This Row],[Customer ID]],customers[Customer ID],customers[Gender])</f>
        <v>Male</v>
      </c>
    </row>
    <row r="367" spans="2:15" x14ac:dyDescent="0.55000000000000004">
      <c r="B367" t="s">
        <v>389</v>
      </c>
      <c r="C367" t="s">
        <v>7</v>
      </c>
      <c r="D367">
        <v>128</v>
      </c>
      <c r="E367" s="16" t="s">
        <v>6</v>
      </c>
      <c r="F367" s="17">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t="str">
        <f>_xlfn.XLOOKUP(calls[[#This Row],[Customer ID]],customers[Customer ID],customers[City])</f>
        <v>Columbus</v>
      </c>
      <c r="N367">
        <f>_xlfn.XLOOKUP(calls[[#This Row],[Customer ID]],customers[Customer ID],customers[Age])</f>
        <v>23</v>
      </c>
      <c r="O367" t="str">
        <f>_xlfn.XLOOKUP(calls[[#This Row],[Customer ID]],customers[Customer ID],customers[Gender])</f>
        <v>Male</v>
      </c>
    </row>
    <row r="368" spans="2:15" x14ac:dyDescent="0.55000000000000004">
      <c r="B368" t="s">
        <v>390</v>
      </c>
      <c r="C368" t="s">
        <v>19</v>
      </c>
      <c r="D368">
        <v>45</v>
      </c>
      <c r="E368" s="16" t="s">
        <v>11</v>
      </c>
      <c r="F368" s="17">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t="str">
        <f>_xlfn.XLOOKUP(calls[[#This Row],[Customer ID]],customers[Customer ID],customers[City])</f>
        <v>Cleveland</v>
      </c>
      <c r="N368">
        <f>_xlfn.XLOOKUP(calls[[#This Row],[Customer ID]],customers[Customer ID],customers[Age])</f>
        <v>43</v>
      </c>
      <c r="O368" t="str">
        <f>_xlfn.XLOOKUP(calls[[#This Row],[Customer ID]],customers[Customer ID],customers[Gender])</f>
        <v>Female</v>
      </c>
    </row>
    <row r="369" spans="2:15" x14ac:dyDescent="0.55000000000000004">
      <c r="B369" t="s">
        <v>391</v>
      </c>
      <c r="C369" t="s">
        <v>17</v>
      </c>
      <c r="D369">
        <v>41</v>
      </c>
      <c r="E369" s="16" t="s">
        <v>6</v>
      </c>
      <c r="F369" s="17">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t="str">
        <f>_xlfn.XLOOKUP(calls[[#This Row],[Customer ID]],customers[Customer ID],customers[City])</f>
        <v>Columbus</v>
      </c>
      <c r="N369">
        <f>_xlfn.XLOOKUP(calls[[#This Row],[Customer ID]],customers[Customer ID],customers[Age])</f>
        <v>41</v>
      </c>
      <c r="O369" t="str">
        <f>_xlfn.XLOOKUP(calls[[#This Row],[Customer ID]],customers[Customer ID],customers[Gender])</f>
        <v>Male</v>
      </c>
    </row>
    <row r="370" spans="2:15" x14ac:dyDescent="0.55000000000000004">
      <c r="B370" t="s">
        <v>392</v>
      </c>
      <c r="C370" t="s">
        <v>24</v>
      </c>
      <c r="D370">
        <v>49</v>
      </c>
      <c r="E370" s="16" t="s">
        <v>6</v>
      </c>
      <c r="F370" s="17">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t="str">
        <f>_xlfn.XLOOKUP(calls[[#This Row],[Customer ID]],customers[Customer ID],customers[City])</f>
        <v>Cleveland</v>
      </c>
      <c r="N370">
        <f>_xlfn.XLOOKUP(calls[[#This Row],[Customer ID]],customers[Customer ID],customers[Age])</f>
        <v>31</v>
      </c>
      <c r="O370" t="str">
        <f>_xlfn.XLOOKUP(calls[[#This Row],[Customer ID]],customers[Customer ID],customers[Gender])</f>
        <v>Male</v>
      </c>
    </row>
    <row r="371" spans="2:15" x14ac:dyDescent="0.55000000000000004">
      <c r="B371" t="s">
        <v>393</v>
      </c>
      <c r="C371" t="s">
        <v>12</v>
      </c>
      <c r="D371">
        <v>21</v>
      </c>
      <c r="E371" s="16" t="s">
        <v>13</v>
      </c>
      <c r="F371" s="17">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t="str">
        <f>_xlfn.XLOOKUP(calls[[#This Row],[Customer ID]],customers[Customer ID],customers[City])</f>
        <v>Cincinnati</v>
      </c>
      <c r="N371">
        <f>_xlfn.XLOOKUP(calls[[#This Row],[Customer ID]],customers[Customer ID],customers[Age])</f>
        <v>36</v>
      </c>
      <c r="O371" t="str">
        <f>_xlfn.XLOOKUP(calls[[#This Row],[Customer ID]],customers[Customer ID],customers[Gender])</f>
        <v>Male</v>
      </c>
    </row>
    <row r="372" spans="2:15" x14ac:dyDescent="0.55000000000000004">
      <c r="B372" t="s">
        <v>394</v>
      </c>
      <c r="C372" t="s">
        <v>16</v>
      </c>
      <c r="D372">
        <v>133</v>
      </c>
      <c r="E372" s="16" t="s">
        <v>11</v>
      </c>
      <c r="F372" s="17">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t="str">
        <f>_xlfn.XLOOKUP(calls[[#This Row],[Customer ID]],customers[Customer ID],customers[City])</f>
        <v>Cincinnati</v>
      </c>
      <c r="N372">
        <f>_xlfn.XLOOKUP(calls[[#This Row],[Customer ID]],customers[Customer ID],customers[Age])</f>
        <v>28</v>
      </c>
      <c r="O372" t="str">
        <f>_xlfn.XLOOKUP(calls[[#This Row],[Customer ID]],customers[Customer ID],customers[Gender])</f>
        <v>Female</v>
      </c>
    </row>
    <row r="373" spans="2:15" x14ac:dyDescent="0.55000000000000004">
      <c r="B373" t="s">
        <v>395</v>
      </c>
      <c r="C373" t="s">
        <v>20</v>
      </c>
      <c r="D373">
        <v>135</v>
      </c>
      <c r="E373" s="16" t="s">
        <v>9</v>
      </c>
      <c r="F373" s="17">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t="str">
        <f>_xlfn.XLOOKUP(calls[[#This Row],[Customer ID]],customers[Customer ID],customers[City])</f>
        <v>Cincinnati</v>
      </c>
      <c r="N373">
        <f>_xlfn.XLOOKUP(calls[[#This Row],[Customer ID]],customers[Customer ID],customers[Age])</f>
        <v>26</v>
      </c>
      <c r="O373" t="str">
        <f>_xlfn.XLOOKUP(calls[[#This Row],[Customer ID]],customers[Customer ID],customers[Gender])</f>
        <v>Male</v>
      </c>
    </row>
    <row r="374" spans="2:15" x14ac:dyDescent="0.55000000000000004">
      <c r="B374" t="s">
        <v>396</v>
      </c>
      <c r="C374" t="s">
        <v>14</v>
      </c>
      <c r="D374">
        <v>69</v>
      </c>
      <c r="E374" s="16" t="s">
        <v>11</v>
      </c>
      <c r="F374" s="17">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t="str">
        <f>_xlfn.XLOOKUP(calls[[#This Row],[Customer ID]],customers[Customer ID],customers[City])</f>
        <v>Cleveland</v>
      </c>
      <c r="N374">
        <f>_xlfn.XLOOKUP(calls[[#This Row],[Customer ID]],customers[Customer ID],customers[Age])</f>
        <v>37</v>
      </c>
      <c r="O374" t="str">
        <f>_xlfn.XLOOKUP(calls[[#This Row],[Customer ID]],customers[Customer ID],customers[Gender])</f>
        <v>Female</v>
      </c>
    </row>
    <row r="375" spans="2:15" x14ac:dyDescent="0.55000000000000004">
      <c r="B375" t="s">
        <v>397</v>
      </c>
      <c r="C375" t="s">
        <v>18</v>
      </c>
      <c r="D375">
        <v>110</v>
      </c>
      <c r="E375" s="16" t="s">
        <v>13</v>
      </c>
      <c r="F375" s="17">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t="str">
        <f>_xlfn.XLOOKUP(calls[[#This Row],[Customer ID]],customers[Customer ID],customers[City])</f>
        <v>Cleveland</v>
      </c>
      <c r="N375">
        <f>_xlfn.XLOOKUP(calls[[#This Row],[Customer ID]],customers[Customer ID],customers[Age])</f>
        <v>30</v>
      </c>
      <c r="O375" t="str">
        <f>_xlfn.XLOOKUP(calls[[#This Row],[Customer ID]],customers[Customer ID],customers[Gender])</f>
        <v>Female</v>
      </c>
    </row>
    <row r="376" spans="2:15" x14ac:dyDescent="0.55000000000000004">
      <c r="B376" t="s">
        <v>398</v>
      </c>
      <c r="C376" t="s">
        <v>5</v>
      </c>
      <c r="D376">
        <v>64</v>
      </c>
      <c r="E376" s="16" t="s">
        <v>10</v>
      </c>
      <c r="F376" s="17">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t="str">
        <f>_xlfn.XLOOKUP(calls[[#This Row],[Customer ID]],customers[Customer ID],customers[City])</f>
        <v>Cleveland</v>
      </c>
      <c r="N376">
        <f>_xlfn.XLOOKUP(calls[[#This Row],[Customer ID]],customers[Customer ID],customers[Age])</f>
        <v>42</v>
      </c>
      <c r="O376" t="str">
        <f>_xlfn.XLOOKUP(calls[[#This Row],[Customer ID]],customers[Customer ID],customers[Gender])</f>
        <v>Female</v>
      </c>
    </row>
    <row r="377" spans="2:15" x14ac:dyDescent="0.55000000000000004">
      <c r="B377" t="s">
        <v>399</v>
      </c>
      <c r="C377" t="s">
        <v>23</v>
      </c>
      <c r="D377">
        <v>105</v>
      </c>
      <c r="E377" s="16" t="s">
        <v>6</v>
      </c>
      <c r="F377" s="17">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t="str">
        <f>_xlfn.XLOOKUP(calls[[#This Row],[Customer ID]],customers[Customer ID],customers[City])</f>
        <v>Columbus</v>
      </c>
      <c r="N377">
        <f>_xlfn.XLOOKUP(calls[[#This Row],[Customer ID]],customers[Customer ID],customers[Age])</f>
        <v>37</v>
      </c>
      <c r="O377" t="str">
        <f>_xlfn.XLOOKUP(calls[[#This Row],[Customer ID]],customers[Customer ID],customers[Gender])</f>
        <v>Male</v>
      </c>
    </row>
    <row r="378" spans="2:15" x14ac:dyDescent="0.55000000000000004">
      <c r="B378" t="s">
        <v>400</v>
      </c>
      <c r="C378" t="s">
        <v>5</v>
      </c>
      <c r="D378">
        <v>165</v>
      </c>
      <c r="E378" s="16" t="s">
        <v>9</v>
      </c>
      <c r="F378" s="17">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t="str">
        <f>_xlfn.XLOOKUP(calls[[#This Row],[Customer ID]],customers[Customer ID],customers[City])</f>
        <v>Cleveland</v>
      </c>
      <c r="N378">
        <f>_xlfn.XLOOKUP(calls[[#This Row],[Customer ID]],customers[Customer ID],customers[Age])</f>
        <v>42</v>
      </c>
      <c r="O378" t="str">
        <f>_xlfn.XLOOKUP(calls[[#This Row],[Customer ID]],customers[Customer ID],customers[Gender])</f>
        <v>Female</v>
      </c>
    </row>
    <row r="379" spans="2:15" x14ac:dyDescent="0.55000000000000004">
      <c r="B379" t="s">
        <v>401</v>
      </c>
      <c r="C379" t="s">
        <v>19</v>
      </c>
      <c r="D379">
        <v>125</v>
      </c>
      <c r="E379" s="16" t="s">
        <v>9</v>
      </c>
      <c r="F379" s="17">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t="str">
        <f>_xlfn.XLOOKUP(calls[[#This Row],[Customer ID]],customers[Customer ID],customers[City])</f>
        <v>Cleveland</v>
      </c>
      <c r="N379">
        <f>_xlfn.XLOOKUP(calls[[#This Row],[Customer ID]],customers[Customer ID],customers[Age])</f>
        <v>43</v>
      </c>
      <c r="O379" t="str">
        <f>_xlfn.XLOOKUP(calls[[#This Row],[Customer ID]],customers[Customer ID],customers[Gender])</f>
        <v>Female</v>
      </c>
    </row>
    <row r="380" spans="2:15" x14ac:dyDescent="0.55000000000000004">
      <c r="B380" t="s">
        <v>402</v>
      </c>
      <c r="C380" t="s">
        <v>23</v>
      </c>
      <c r="D380">
        <v>88</v>
      </c>
      <c r="E380" s="16" t="s">
        <v>10</v>
      </c>
      <c r="F380" s="17">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t="str">
        <f>_xlfn.XLOOKUP(calls[[#This Row],[Customer ID]],customers[Customer ID],customers[City])</f>
        <v>Columbus</v>
      </c>
      <c r="N380">
        <f>_xlfn.XLOOKUP(calls[[#This Row],[Customer ID]],customers[Customer ID],customers[Age])</f>
        <v>37</v>
      </c>
      <c r="O380" t="str">
        <f>_xlfn.XLOOKUP(calls[[#This Row],[Customer ID]],customers[Customer ID],customers[Gender])</f>
        <v>Male</v>
      </c>
    </row>
    <row r="381" spans="2:15" x14ac:dyDescent="0.55000000000000004">
      <c r="B381" t="s">
        <v>403</v>
      </c>
      <c r="C381" t="s">
        <v>14</v>
      </c>
      <c r="D381">
        <v>6</v>
      </c>
      <c r="E381" s="16" t="s">
        <v>10</v>
      </c>
      <c r="F381" s="17">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t="str">
        <f>_xlfn.XLOOKUP(calls[[#This Row],[Customer ID]],customers[Customer ID],customers[City])</f>
        <v>Cleveland</v>
      </c>
      <c r="N381">
        <f>_xlfn.XLOOKUP(calls[[#This Row],[Customer ID]],customers[Customer ID],customers[Age])</f>
        <v>37</v>
      </c>
      <c r="O381" t="str">
        <f>_xlfn.XLOOKUP(calls[[#This Row],[Customer ID]],customers[Customer ID],customers[Gender])</f>
        <v>Female</v>
      </c>
    </row>
    <row r="382" spans="2:15" x14ac:dyDescent="0.55000000000000004">
      <c r="B382" t="s">
        <v>404</v>
      </c>
      <c r="C382" t="s">
        <v>22</v>
      </c>
      <c r="D382">
        <v>69</v>
      </c>
      <c r="E382" s="16" t="s">
        <v>11</v>
      </c>
      <c r="F382" s="17">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t="str">
        <f>_xlfn.XLOOKUP(calls[[#This Row],[Customer ID]],customers[Customer ID],customers[City])</f>
        <v>Columbus</v>
      </c>
      <c r="N382">
        <f>_xlfn.XLOOKUP(calls[[#This Row],[Customer ID]],customers[Customer ID],customers[Age])</f>
        <v>25</v>
      </c>
      <c r="O382" t="str">
        <f>_xlfn.XLOOKUP(calls[[#This Row],[Customer ID]],customers[Customer ID],customers[Gender])</f>
        <v>Female</v>
      </c>
    </row>
    <row r="383" spans="2:15" x14ac:dyDescent="0.55000000000000004">
      <c r="B383" t="s">
        <v>405</v>
      </c>
      <c r="C383" t="s">
        <v>17</v>
      </c>
      <c r="D383">
        <v>107</v>
      </c>
      <c r="E383" s="16" t="s">
        <v>11</v>
      </c>
      <c r="F383" s="17">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t="str">
        <f>_xlfn.XLOOKUP(calls[[#This Row],[Customer ID]],customers[Customer ID],customers[City])</f>
        <v>Columbus</v>
      </c>
      <c r="N383">
        <f>_xlfn.XLOOKUP(calls[[#This Row],[Customer ID]],customers[Customer ID],customers[Age])</f>
        <v>41</v>
      </c>
      <c r="O383" t="str">
        <f>_xlfn.XLOOKUP(calls[[#This Row],[Customer ID]],customers[Customer ID],customers[Gender])</f>
        <v>Male</v>
      </c>
    </row>
    <row r="384" spans="2:15" x14ac:dyDescent="0.55000000000000004">
      <c r="B384" t="s">
        <v>406</v>
      </c>
      <c r="C384" t="s">
        <v>12</v>
      </c>
      <c r="D384">
        <v>90</v>
      </c>
      <c r="E384" s="16" t="s">
        <v>9</v>
      </c>
      <c r="F384" s="17">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t="str">
        <f>_xlfn.XLOOKUP(calls[[#This Row],[Customer ID]],customers[Customer ID],customers[City])</f>
        <v>Cincinnati</v>
      </c>
      <c r="N384">
        <f>_xlfn.XLOOKUP(calls[[#This Row],[Customer ID]],customers[Customer ID],customers[Age])</f>
        <v>36</v>
      </c>
      <c r="O384" t="str">
        <f>_xlfn.XLOOKUP(calls[[#This Row],[Customer ID]],customers[Customer ID],customers[Gender])</f>
        <v>Male</v>
      </c>
    </row>
    <row r="385" spans="2:15" x14ac:dyDescent="0.55000000000000004">
      <c r="B385" t="s">
        <v>407</v>
      </c>
      <c r="C385" t="s">
        <v>20</v>
      </c>
      <c r="D385">
        <v>120</v>
      </c>
      <c r="E385" s="16" t="s">
        <v>6</v>
      </c>
      <c r="F385" s="17">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t="str">
        <f>_xlfn.XLOOKUP(calls[[#This Row],[Customer ID]],customers[Customer ID],customers[City])</f>
        <v>Cincinnati</v>
      </c>
      <c r="N385">
        <f>_xlfn.XLOOKUP(calls[[#This Row],[Customer ID]],customers[Customer ID],customers[Age])</f>
        <v>26</v>
      </c>
      <c r="O385" t="str">
        <f>_xlfn.XLOOKUP(calls[[#This Row],[Customer ID]],customers[Customer ID],customers[Gender])</f>
        <v>Male</v>
      </c>
    </row>
    <row r="386" spans="2:15" x14ac:dyDescent="0.55000000000000004">
      <c r="B386" t="s">
        <v>408</v>
      </c>
      <c r="C386" t="s">
        <v>8</v>
      </c>
      <c r="D386">
        <v>47</v>
      </c>
      <c r="E386" s="16" t="s">
        <v>11</v>
      </c>
      <c r="F386" s="17">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t="str">
        <f>_xlfn.XLOOKUP(calls[[#This Row],[Customer ID]],customers[Customer ID],customers[City])</f>
        <v>Cincinnati</v>
      </c>
      <c r="N386">
        <f>_xlfn.XLOOKUP(calls[[#This Row],[Customer ID]],customers[Customer ID],customers[Age])</f>
        <v>30</v>
      </c>
      <c r="O386" t="str">
        <f>_xlfn.XLOOKUP(calls[[#This Row],[Customer ID]],customers[Customer ID],customers[Gender])</f>
        <v>Female</v>
      </c>
    </row>
    <row r="387" spans="2:15" x14ac:dyDescent="0.55000000000000004">
      <c r="B387" t="s">
        <v>409</v>
      </c>
      <c r="C387" t="s">
        <v>21</v>
      </c>
      <c r="D387">
        <v>60</v>
      </c>
      <c r="E387" s="16" t="s">
        <v>6</v>
      </c>
      <c r="F387" s="17">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t="str">
        <f>_xlfn.XLOOKUP(calls[[#This Row],[Customer ID]],customers[Customer ID],customers[City])</f>
        <v>Columbus</v>
      </c>
      <c r="N387">
        <f>_xlfn.XLOOKUP(calls[[#This Row],[Customer ID]],customers[Customer ID],customers[Age])</f>
        <v>38</v>
      </c>
      <c r="O387" t="str">
        <f>_xlfn.XLOOKUP(calls[[#This Row],[Customer ID]],customers[Customer ID],customers[Gender])</f>
        <v>Female</v>
      </c>
    </row>
    <row r="388" spans="2:15" x14ac:dyDescent="0.55000000000000004">
      <c r="B388" t="s">
        <v>410</v>
      </c>
      <c r="C388" t="s">
        <v>7</v>
      </c>
      <c r="D388">
        <v>64</v>
      </c>
      <c r="E388" s="16" t="s">
        <v>9</v>
      </c>
      <c r="F388" s="17">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t="str">
        <f>_xlfn.XLOOKUP(calls[[#This Row],[Customer ID]],customers[Customer ID],customers[City])</f>
        <v>Columbus</v>
      </c>
      <c r="N388">
        <f>_xlfn.XLOOKUP(calls[[#This Row],[Customer ID]],customers[Customer ID],customers[Age])</f>
        <v>23</v>
      </c>
      <c r="O388" t="str">
        <f>_xlfn.XLOOKUP(calls[[#This Row],[Customer ID]],customers[Customer ID],customers[Gender])</f>
        <v>Male</v>
      </c>
    </row>
    <row r="389" spans="2:15" x14ac:dyDescent="0.55000000000000004">
      <c r="B389" t="s">
        <v>411</v>
      </c>
      <c r="C389" t="s">
        <v>5</v>
      </c>
      <c r="D389">
        <v>62</v>
      </c>
      <c r="E389" s="16" t="s">
        <v>11</v>
      </c>
      <c r="F389" s="17">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t="str">
        <f>_xlfn.XLOOKUP(calls[[#This Row],[Customer ID]],customers[Customer ID],customers[City])</f>
        <v>Cleveland</v>
      </c>
      <c r="N389">
        <f>_xlfn.XLOOKUP(calls[[#This Row],[Customer ID]],customers[Customer ID],customers[Age])</f>
        <v>42</v>
      </c>
      <c r="O389" t="str">
        <f>_xlfn.XLOOKUP(calls[[#This Row],[Customer ID]],customers[Customer ID],customers[Gender])</f>
        <v>Female</v>
      </c>
    </row>
    <row r="390" spans="2:15" x14ac:dyDescent="0.55000000000000004">
      <c r="B390" t="s">
        <v>412</v>
      </c>
      <c r="C390" t="s">
        <v>18</v>
      </c>
      <c r="D390">
        <v>88</v>
      </c>
      <c r="E390" s="16" t="s">
        <v>11</v>
      </c>
      <c r="F390" s="17">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t="str">
        <f>_xlfn.XLOOKUP(calls[[#This Row],[Customer ID]],customers[Customer ID],customers[City])</f>
        <v>Cleveland</v>
      </c>
      <c r="N390">
        <f>_xlfn.XLOOKUP(calls[[#This Row],[Customer ID]],customers[Customer ID],customers[Age])</f>
        <v>30</v>
      </c>
      <c r="O390" t="str">
        <f>_xlfn.XLOOKUP(calls[[#This Row],[Customer ID]],customers[Customer ID],customers[Gender])</f>
        <v>Female</v>
      </c>
    </row>
    <row r="391" spans="2:15" x14ac:dyDescent="0.55000000000000004">
      <c r="B391" t="s">
        <v>413</v>
      </c>
      <c r="C391" t="s">
        <v>19</v>
      </c>
      <c r="D391">
        <v>116</v>
      </c>
      <c r="E391" s="16" t="s">
        <v>11</v>
      </c>
      <c r="F391" s="17">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t="str">
        <f>_xlfn.XLOOKUP(calls[[#This Row],[Customer ID]],customers[Customer ID],customers[City])</f>
        <v>Cleveland</v>
      </c>
      <c r="N391">
        <f>_xlfn.XLOOKUP(calls[[#This Row],[Customer ID]],customers[Customer ID],customers[Age])</f>
        <v>43</v>
      </c>
      <c r="O391" t="str">
        <f>_xlfn.XLOOKUP(calls[[#This Row],[Customer ID]],customers[Customer ID],customers[Gender])</f>
        <v>Female</v>
      </c>
    </row>
    <row r="392" spans="2:15" x14ac:dyDescent="0.55000000000000004">
      <c r="B392" t="s">
        <v>414</v>
      </c>
      <c r="C392" t="s">
        <v>12</v>
      </c>
      <c r="D392">
        <v>82</v>
      </c>
      <c r="E392" s="16" t="s">
        <v>10</v>
      </c>
      <c r="F392" s="17">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t="str">
        <f>_xlfn.XLOOKUP(calls[[#This Row],[Customer ID]],customers[Customer ID],customers[City])</f>
        <v>Cincinnati</v>
      </c>
      <c r="N392">
        <f>_xlfn.XLOOKUP(calls[[#This Row],[Customer ID]],customers[Customer ID],customers[Age])</f>
        <v>36</v>
      </c>
      <c r="O392" t="str">
        <f>_xlfn.XLOOKUP(calls[[#This Row],[Customer ID]],customers[Customer ID],customers[Gender])</f>
        <v>Male</v>
      </c>
    </row>
    <row r="393" spans="2:15" x14ac:dyDescent="0.55000000000000004">
      <c r="B393" t="s">
        <v>415</v>
      </c>
      <c r="C393" t="s">
        <v>5</v>
      </c>
      <c r="D393">
        <v>99</v>
      </c>
      <c r="E393" s="16" t="s">
        <v>9</v>
      </c>
      <c r="F393" s="17">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t="str">
        <f>_xlfn.XLOOKUP(calls[[#This Row],[Customer ID]],customers[Customer ID],customers[City])</f>
        <v>Cleveland</v>
      </c>
      <c r="N393">
        <f>_xlfn.XLOOKUP(calls[[#This Row],[Customer ID]],customers[Customer ID],customers[Age])</f>
        <v>42</v>
      </c>
      <c r="O393" t="str">
        <f>_xlfn.XLOOKUP(calls[[#This Row],[Customer ID]],customers[Customer ID],customers[Gender])</f>
        <v>Female</v>
      </c>
    </row>
    <row r="394" spans="2:15" x14ac:dyDescent="0.55000000000000004">
      <c r="B394" t="s">
        <v>416</v>
      </c>
      <c r="C394" t="s">
        <v>5</v>
      </c>
      <c r="D394">
        <v>55</v>
      </c>
      <c r="E394" s="16" t="s">
        <v>10</v>
      </c>
      <c r="F394" s="17">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t="str">
        <f>_xlfn.XLOOKUP(calls[[#This Row],[Customer ID]],customers[Customer ID],customers[City])</f>
        <v>Cleveland</v>
      </c>
      <c r="N394">
        <f>_xlfn.XLOOKUP(calls[[#This Row],[Customer ID]],customers[Customer ID],customers[Age])</f>
        <v>42</v>
      </c>
      <c r="O394" t="str">
        <f>_xlfn.XLOOKUP(calls[[#This Row],[Customer ID]],customers[Customer ID],customers[Gender])</f>
        <v>Female</v>
      </c>
    </row>
    <row r="395" spans="2:15" x14ac:dyDescent="0.55000000000000004">
      <c r="B395" t="s">
        <v>417</v>
      </c>
      <c r="C395" t="s">
        <v>7</v>
      </c>
      <c r="D395">
        <v>61</v>
      </c>
      <c r="E395" s="16" t="s">
        <v>6</v>
      </c>
      <c r="F395" s="17">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t="str">
        <f>_xlfn.XLOOKUP(calls[[#This Row],[Customer ID]],customers[Customer ID],customers[City])</f>
        <v>Columbus</v>
      </c>
      <c r="N395">
        <f>_xlfn.XLOOKUP(calls[[#This Row],[Customer ID]],customers[Customer ID],customers[Age])</f>
        <v>23</v>
      </c>
      <c r="O395" t="str">
        <f>_xlfn.XLOOKUP(calls[[#This Row],[Customer ID]],customers[Customer ID],customers[Gender])</f>
        <v>Male</v>
      </c>
    </row>
    <row r="396" spans="2:15" x14ac:dyDescent="0.55000000000000004">
      <c r="B396" t="s">
        <v>418</v>
      </c>
      <c r="C396" t="s">
        <v>19</v>
      </c>
      <c r="D396">
        <v>36</v>
      </c>
      <c r="E396" s="16" t="s">
        <v>13</v>
      </c>
      <c r="F396" s="17">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t="str">
        <f>_xlfn.XLOOKUP(calls[[#This Row],[Customer ID]],customers[Customer ID],customers[City])</f>
        <v>Cleveland</v>
      </c>
      <c r="N396">
        <f>_xlfn.XLOOKUP(calls[[#This Row],[Customer ID]],customers[Customer ID],customers[Age])</f>
        <v>43</v>
      </c>
      <c r="O396" t="str">
        <f>_xlfn.XLOOKUP(calls[[#This Row],[Customer ID]],customers[Customer ID],customers[Gender])</f>
        <v>Female</v>
      </c>
    </row>
    <row r="397" spans="2:15" x14ac:dyDescent="0.55000000000000004">
      <c r="B397" t="s">
        <v>419</v>
      </c>
      <c r="C397" t="s">
        <v>12</v>
      </c>
      <c r="D397">
        <v>123</v>
      </c>
      <c r="E397" s="16" t="s">
        <v>11</v>
      </c>
      <c r="F397" s="17">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t="str">
        <f>_xlfn.XLOOKUP(calls[[#This Row],[Customer ID]],customers[Customer ID],customers[City])</f>
        <v>Cincinnati</v>
      </c>
      <c r="N397">
        <f>_xlfn.XLOOKUP(calls[[#This Row],[Customer ID]],customers[Customer ID],customers[Age])</f>
        <v>36</v>
      </c>
      <c r="O397" t="str">
        <f>_xlfn.XLOOKUP(calls[[#This Row],[Customer ID]],customers[Customer ID],customers[Gender])</f>
        <v>Male</v>
      </c>
    </row>
    <row r="398" spans="2:15" x14ac:dyDescent="0.55000000000000004">
      <c r="B398" t="s">
        <v>420</v>
      </c>
      <c r="C398" t="s">
        <v>24</v>
      </c>
      <c r="D398">
        <v>24</v>
      </c>
      <c r="E398" s="16" t="s">
        <v>6</v>
      </c>
      <c r="F398" s="17">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t="str">
        <f>_xlfn.XLOOKUP(calls[[#This Row],[Customer ID]],customers[Customer ID],customers[City])</f>
        <v>Cleveland</v>
      </c>
      <c r="N398">
        <f>_xlfn.XLOOKUP(calls[[#This Row],[Customer ID]],customers[Customer ID],customers[Age])</f>
        <v>31</v>
      </c>
      <c r="O398" t="str">
        <f>_xlfn.XLOOKUP(calls[[#This Row],[Customer ID]],customers[Customer ID],customers[Gender])</f>
        <v>Male</v>
      </c>
    </row>
    <row r="399" spans="2:15" x14ac:dyDescent="0.55000000000000004">
      <c r="B399" t="s">
        <v>421</v>
      </c>
      <c r="C399" t="s">
        <v>12</v>
      </c>
      <c r="D399">
        <v>43</v>
      </c>
      <c r="E399" s="16" t="s">
        <v>11</v>
      </c>
      <c r="F399" s="17">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t="str">
        <f>_xlfn.XLOOKUP(calls[[#This Row],[Customer ID]],customers[Customer ID],customers[City])</f>
        <v>Cincinnati</v>
      </c>
      <c r="N399">
        <f>_xlfn.XLOOKUP(calls[[#This Row],[Customer ID]],customers[Customer ID],customers[Age])</f>
        <v>36</v>
      </c>
      <c r="O399" t="str">
        <f>_xlfn.XLOOKUP(calls[[#This Row],[Customer ID]],customers[Customer ID],customers[Gender])</f>
        <v>Male</v>
      </c>
    </row>
    <row r="400" spans="2:15" x14ac:dyDescent="0.55000000000000004">
      <c r="B400" t="s">
        <v>422</v>
      </c>
      <c r="C400" t="s">
        <v>21</v>
      </c>
      <c r="D400">
        <v>95</v>
      </c>
      <c r="E400" s="16" t="s">
        <v>9</v>
      </c>
      <c r="F400" s="17">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t="str">
        <f>_xlfn.XLOOKUP(calls[[#This Row],[Customer ID]],customers[Customer ID],customers[City])</f>
        <v>Columbus</v>
      </c>
      <c r="N400">
        <f>_xlfn.XLOOKUP(calls[[#This Row],[Customer ID]],customers[Customer ID],customers[Age])</f>
        <v>38</v>
      </c>
      <c r="O400" t="str">
        <f>_xlfn.XLOOKUP(calls[[#This Row],[Customer ID]],customers[Customer ID],customers[Gender])</f>
        <v>Female</v>
      </c>
    </row>
    <row r="401" spans="2:15" x14ac:dyDescent="0.55000000000000004">
      <c r="B401" t="s">
        <v>423</v>
      </c>
      <c r="C401" t="s">
        <v>5</v>
      </c>
      <c r="D401">
        <v>53</v>
      </c>
      <c r="E401" s="16" t="s">
        <v>11</v>
      </c>
      <c r="F401" s="17">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t="str">
        <f>_xlfn.XLOOKUP(calls[[#This Row],[Customer ID]],customers[Customer ID],customers[City])</f>
        <v>Cleveland</v>
      </c>
      <c r="N401">
        <f>_xlfn.XLOOKUP(calls[[#This Row],[Customer ID]],customers[Customer ID],customers[Age])</f>
        <v>42</v>
      </c>
      <c r="O401" t="str">
        <f>_xlfn.XLOOKUP(calls[[#This Row],[Customer ID]],customers[Customer ID],customers[Gender])</f>
        <v>Female</v>
      </c>
    </row>
    <row r="402" spans="2:15" x14ac:dyDescent="0.55000000000000004">
      <c r="B402" t="s">
        <v>424</v>
      </c>
      <c r="C402" t="s">
        <v>12</v>
      </c>
      <c r="D402">
        <v>113</v>
      </c>
      <c r="E402" s="16" t="s">
        <v>11</v>
      </c>
      <c r="F402" s="17">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t="str">
        <f>_xlfn.XLOOKUP(calls[[#This Row],[Customer ID]],customers[Customer ID],customers[City])</f>
        <v>Cincinnati</v>
      </c>
      <c r="N402">
        <f>_xlfn.XLOOKUP(calls[[#This Row],[Customer ID]],customers[Customer ID],customers[Age])</f>
        <v>36</v>
      </c>
      <c r="O402" t="str">
        <f>_xlfn.XLOOKUP(calls[[#This Row],[Customer ID]],customers[Customer ID],customers[Gender])</f>
        <v>Male</v>
      </c>
    </row>
    <row r="403" spans="2:15" x14ac:dyDescent="0.55000000000000004">
      <c r="B403" t="s">
        <v>425</v>
      </c>
      <c r="C403" t="s">
        <v>5</v>
      </c>
      <c r="D403">
        <v>89</v>
      </c>
      <c r="E403" s="16" t="s">
        <v>13</v>
      </c>
      <c r="F403" s="17">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t="str">
        <f>_xlfn.XLOOKUP(calls[[#This Row],[Customer ID]],customers[Customer ID],customers[City])</f>
        <v>Cleveland</v>
      </c>
      <c r="N403">
        <f>_xlfn.XLOOKUP(calls[[#This Row],[Customer ID]],customers[Customer ID],customers[Age])</f>
        <v>42</v>
      </c>
      <c r="O403" t="str">
        <f>_xlfn.XLOOKUP(calls[[#This Row],[Customer ID]],customers[Customer ID],customers[Gender])</f>
        <v>Female</v>
      </c>
    </row>
    <row r="404" spans="2:15" x14ac:dyDescent="0.55000000000000004">
      <c r="B404" t="s">
        <v>426</v>
      </c>
      <c r="C404" t="s">
        <v>18</v>
      </c>
      <c r="D404">
        <v>84</v>
      </c>
      <c r="E404" s="16" t="s">
        <v>10</v>
      </c>
      <c r="F404" s="17">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t="str">
        <f>_xlfn.XLOOKUP(calls[[#This Row],[Customer ID]],customers[Customer ID],customers[City])</f>
        <v>Cleveland</v>
      </c>
      <c r="N404">
        <f>_xlfn.XLOOKUP(calls[[#This Row],[Customer ID]],customers[Customer ID],customers[Age])</f>
        <v>30</v>
      </c>
      <c r="O404" t="str">
        <f>_xlfn.XLOOKUP(calls[[#This Row],[Customer ID]],customers[Customer ID],customers[Gender])</f>
        <v>Female</v>
      </c>
    </row>
    <row r="405" spans="2:15" x14ac:dyDescent="0.55000000000000004">
      <c r="B405" t="s">
        <v>427</v>
      </c>
      <c r="C405" t="s">
        <v>24</v>
      </c>
      <c r="D405">
        <v>130</v>
      </c>
      <c r="E405" s="16" t="s">
        <v>11</v>
      </c>
      <c r="F405" s="17">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t="str">
        <f>_xlfn.XLOOKUP(calls[[#This Row],[Customer ID]],customers[Customer ID],customers[City])</f>
        <v>Cleveland</v>
      </c>
      <c r="N405">
        <f>_xlfn.XLOOKUP(calls[[#This Row],[Customer ID]],customers[Customer ID],customers[Age])</f>
        <v>31</v>
      </c>
      <c r="O405" t="str">
        <f>_xlfn.XLOOKUP(calls[[#This Row],[Customer ID]],customers[Customer ID],customers[Gender])</f>
        <v>Male</v>
      </c>
    </row>
    <row r="406" spans="2:15" x14ac:dyDescent="0.55000000000000004">
      <c r="B406" t="s">
        <v>428</v>
      </c>
      <c r="C406" t="s">
        <v>21</v>
      </c>
      <c r="D406">
        <v>163</v>
      </c>
      <c r="E406" s="16" t="s">
        <v>13</v>
      </c>
      <c r="F406" s="17">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t="str">
        <f>_xlfn.XLOOKUP(calls[[#This Row],[Customer ID]],customers[Customer ID],customers[City])</f>
        <v>Columbus</v>
      </c>
      <c r="N406">
        <f>_xlfn.XLOOKUP(calls[[#This Row],[Customer ID]],customers[Customer ID],customers[Age])</f>
        <v>38</v>
      </c>
      <c r="O406" t="str">
        <f>_xlfn.XLOOKUP(calls[[#This Row],[Customer ID]],customers[Customer ID],customers[Gender])</f>
        <v>Female</v>
      </c>
    </row>
    <row r="407" spans="2:15" x14ac:dyDescent="0.55000000000000004">
      <c r="B407" t="s">
        <v>429</v>
      </c>
      <c r="C407" t="s">
        <v>22</v>
      </c>
      <c r="D407">
        <v>127</v>
      </c>
      <c r="E407" s="16" t="s">
        <v>11</v>
      </c>
      <c r="F407" s="17">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t="str">
        <f>_xlfn.XLOOKUP(calls[[#This Row],[Customer ID]],customers[Customer ID],customers[City])</f>
        <v>Columbus</v>
      </c>
      <c r="N407">
        <f>_xlfn.XLOOKUP(calls[[#This Row],[Customer ID]],customers[Customer ID],customers[Age])</f>
        <v>25</v>
      </c>
      <c r="O407" t="str">
        <f>_xlfn.XLOOKUP(calls[[#This Row],[Customer ID]],customers[Customer ID],customers[Gender])</f>
        <v>Female</v>
      </c>
    </row>
    <row r="408" spans="2:15" x14ac:dyDescent="0.55000000000000004">
      <c r="B408" t="s">
        <v>430</v>
      </c>
      <c r="C408" t="s">
        <v>12</v>
      </c>
      <c r="D408">
        <v>50</v>
      </c>
      <c r="E408" s="16" t="s">
        <v>11</v>
      </c>
      <c r="F408" s="17">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t="str">
        <f>_xlfn.XLOOKUP(calls[[#This Row],[Customer ID]],customers[Customer ID],customers[City])</f>
        <v>Cincinnati</v>
      </c>
      <c r="N408">
        <f>_xlfn.XLOOKUP(calls[[#This Row],[Customer ID]],customers[Customer ID],customers[Age])</f>
        <v>36</v>
      </c>
      <c r="O408" t="str">
        <f>_xlfn.XLOOKUP(calls[[#This Row],[Customer ID]],customers[Customer ID],customers[Gender])</f>
        <v>Male</v>
      </c>
    </row>
    <row r="409" spans="2:15" x14ac:dyDescent="0.55000000000000004">
      <c r="B409" t="s">
        <v>431</v>
      </c>
      <c r="C409" t="s">
        <v>15</v>
      </c>
      <c r="D409">
        <v>88</v>
      </c>
      <c r="E409" s="16" t="s">
        <v>6</v>
      </c>
      <c r="F409" s="17">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t="str">
        <f>_xlfn.XLOOKUP(calls[[#This Row],[Customer ID]],customers[Customer ID],customers[City])</f>
        <v>Cleveland</v>
      </c>
      <c r="N409">
        <f>_xlfn.XLOOKUP(calls[[#This Row],[Customer ID]],customers[Customer ID],customers[Age])</f>
        <v>22</v>
      </c>
      <c r="O409" t="str">
        <f>_xlfn.XLOOKUP(calls[[#This Row],[Customer ID]],customers[Customer ID],customers[Gender])</f>
        <v>Female</v>
      </c>
    </row>
    <row r="410" spans="2:15" x14ac:dyDescent="0.55000000000000004">
      <c r="B410" t="s">
        <v>432</v>
      </c>
      <c r="C410" t="s">
        <v>12</v>
      </c>
      <c r="D410">
        <v>139</v>
      </c>
      <c r="E410" s="16" t="s">
        <v>9</v>
      </c>
      <c r="F410" s="17">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t="str">
        <f>_xlfn.XLOOKUP(calls[[#This Row],[Customer ID]],customers[Customer ID],customers[City])</f>
        <v>Cincinnati</v>
      </c>
      <c r="N410">
        <f>_xlfn.XLOOKUP(calls[[#This Row],[Customer ID]],customers[Customer ID],customers[Age])</f>
        <v>36</v>
      </c>
      <c r="O410" t="str">
        <f>_xlfn.XLOOKUP(calls[[#This Row],[Customer ID]],customers[Customer ID],customers[Gender])</f>
        <v>Male</v>
      </c>
    </row>
    <row r="411" spans="2:15" x14ac:dyDescent="0.55000000000000004">
      <c r="B411" t="s">
        <v>433</v>
      </c>
      <c r="C411" t="s">
        <v>21</v>
      </c>
      <c r="D411">
        <v>111</v>
      </c>
      <c r="E411" s="16" t="s">
        <v>11</v>
      </c>
      <c r="F411" s="17">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t="str">
        <f>_xlfn.XLOOKUP(calls[[#This Row],[Customer ID]],customers[Customer ID],customers[City])</f>
        <v>Columbus</v>
      </c>
      <c r="N411">
        <f>_xlfn.XLOOKUP(calls[[#This Row],[Customer ID]],customers[Customer ID],customers[Age])</f>
        <v>38</v>
      </c>
      <c r="O411" t="str">
        <f>_xlfn.XLOOKUP(calls[[#This Row],[Customer ID]],customers[Customer ID],customers[Gender])</f>
        <v>Female</v>
      </c>
    </row>
    <row r="412" spans="2:15" x14ac:dyDescent="0.55000000000000004">
      <c r="B412" t="s">
        <v>434</v>
      </c>
      <c r="C412" t="s">
        <v>23</v>
      </c>
      <c r="D412">
        <v>115</v>
      </c>
      <c r="E412" s="16" t="s">
        <v>9</v>
      </c>
      <c r="F412" s="17">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t="str">
        <f>_xlfn.XLOOKUP(calls[[#This Row],[Customer ID]],customers[Customer ID],customers[City])</f>
        <v>Columbus</v>
      </c>
      <c r="N412">
        <f>_xlfn.XLOOKUP(calls[[#This Row],[Customer ID]],customers[Customer ID],customers[Age])</f>
        <v>37</v>
      </c>
      <c r="O412" t="str">
        <f>_xlfn.XLOOKUP(calls[[#This Row],[Customer ID]],customers[Customer ID],customers[Gender])</f>
        <v>Male</v>
      </c>
    </row>
    <row r="413" spans="2:15" x14ac:dyDescent="0.55000000000000004">
      <c r="B413" t="s">
        <v>435</v>
      </c>
      <c r="C413" t="s">
        <v>5</v>
      </c>
      <c r="D413">
        <v>26</v>
      </c>
      <c r="E413" s="16" t="s">
        <v>13</v>
      </c>
      <c r="F413" s="17">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t="str">
        <f>_xlfn.XLOOKUP(calls[[#This Row],[Customer ID]],customers[Customer ID],customers[City])</f>
        <v>Cleveland</v>
      </c>
      <c r="N413">
        <f>_xlfn.XLOOKUP(calls[[#This Row],[Customer ID]],customers[Customer ID],customers[Age])</f>
        <v>42</v>
      </c>
      <c r="O413" t="str">
        <f>_xlfn.XLOOKUP(calls[[#This Row],[Customer ID]],customers[Customer ID],customers[Gender])</f>
        <v>Female</v>
      </c>
    </row>
    <row r="414" spans="2:15" x14ac:dyDescent="0.55000000000000004">
      <c r="B414" t="s">
        <v>436</v>
      </c>
      <c r="C414" t="s">
        <v>18</v>
      </c>
      <c r="D414">
        <v>131</v>
      </c>
      <c r="E414" s="16" t="s">
        <v>6</v>
      </c>
      <c r="F414" s="17">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t="str">
        <f>_xlfn.XLOOKUP(calls[[#This Row],[Customer ID]],customers[Customer ID],customers[City])</f>
        <v>Cleveland</v>
      </c>
      <c r="N414">
        <f>_xlfn.XLOOKUP(calls[[#This Row],[Customer ID]],customers[Customer ID],customers[Age])</f>
        <v>30</v>
      </c>
      <c r="O414" t="str">
        <f>_xlfn.XLOOKUP(calls[[#This Row],[Customer ID]],customers[Customer ID],customers[Gender])</f>
        <v>Female</v>
      </c>
    </row>
    <row r="415" spans="2:15" x14ac:dyDescent="0.55000000000000004">
      <c r="B415" t="s">
        <v>437</v>
      </c>
      <c r="C415" t="s">
        <v>23</v>
      </c>
      <c r="D415">
        <v>27</v>
      </c>
      <c r="E415" s="16" t="s">
        <v>6</v>
      </c>
      <c r="F415" s="17">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t="str">
        <f>_xlfn.XLOOKUP(calls[[#This Row],[Customer ID]],customers[Customer ID],customers[City])</f>
        <v>Columbus</v>
      </c>
      <c r="N415">
        <f>_xlfn.XLOOKUP(calls[[#This Row],[Customer ID]],customers[Customer ID],customers[Age])</f>
        <v>37</v>
      </c>
      <c r="O415" t="str">
        <f>_xlfn.XLOOKUP(calls[[#This Row],[Customer ID]],customers[Customer ID],customers[Gender])</f>
        <v>Male</v>
      </c>
    </row>
    <row r="416" spans="2:15" x14ac:dyDescent="0.55000000000000004">
      <c r="B416" t="s">
        <v>438</v>
      </c>
      <c r="C416" t="s">
        <v>16</v>
      </c>
      <c r="D416">
        <v>75</v>
      </c>
      <c r="E416" s="16" t="s">
        <v>11</v>
      </c>
      <c r="F416" s="17">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t="str">
        <f>_xlfn.XLOOKUP(calls[[#This Row],[Customer ID]],customers[Customer ID],customers[City])</f>
        <v>Cincinnati</v>
      </c>
      <c r="N416">
        <f>_xlfn.XLOOKUP(calls[[#This Row],[Customer ID]],customers[Customer ID],customers[Age])</f>
        <v>28</v>
      </c>
      <c r="O416" t="str">
        <f>_xlfn.XLOOKUP(calls[[#This Row],[Customer ID]],customers[Customer ID],customers[Gender])</f>
        <v>Female</v>
      </c>
    </row>
    <row r="417" spans="2:15" x14ac:dyDescent="0.55000000000000004">
      <c r="B417" t="s">
        <v>439</v>
      </c>
      <c r="C417" t="s">
        <v>7</v>
      </c>
      <c r="D417">
        <v>123</v>
      </c>
      <c r="E417" s="16" t="s">
        <v>6</v>
      </c>
      <c r="F417" s="17">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t="str">
        <f>_xlfn.XLOOKUP(calls[[#This Row],[Customer ID]],customers[Customer ID],customers[City])</f>
        <v>Columbus</v>
      </c>
      <c r="N417">
        <f>_xlfn.XLOOKUP(calls[[#This Row],[Customer ID]],customers[Customer ID],customers[Age])</f>
        <v>23</v>
      </c>
      <c r="O417" t="str">
        <f>_xlfn.XLOOKUP(calls[[#This Row],[Customer ID]],customers[Customer ID],customers[Gender])</f>
        <v>Male</v>
      </c>
    </row>
    <row r="418" spans="2:15" x14ac:dyDescent="0.55000000000000004">
      <c r="B418" t="s">
        <v>440</v>
      </c>
      <c r="C418" t="s">
        <v>20</v>
      </c>
      <c r="D418">
        <v>129</v>
      </c>
      <c r="E418" s="16" t="s">
        <v>6</v>
      </c>
      <c r="F418" s="17">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t="str">
        <f>_xlfn.XLOOKUP(calls[[#This Row],[Customer ID]],customers[Customer ID],customers[City])</f>
        <v>Cincinnati</v>
      </c>
      <c r="N418">
        <f>_xlfn.XLOOKUP(calls[[#This Row],[Customer ID]],customers[Customer ID],customers[Age])</f>
        <v>26</v>
      </c>
      <c r="O418" t="str">
        <f>_xlfn.XLOOKUP(calls[[#This Row],[Customer ID]],customers[Customer ID],customers[Gender])</f>
        <v>Male</v>
      </c>
    </row>
    <row r="419" spans="2:15" x14ac:dyDescent="0.55000000000000004">
      <c r="B419" t="s">
        <v>441</v>
      </c>
      <c r="C419" t="s">
        <v>16</v>
      </c>
      <c r="D419">
        <v>124</v>
      </c>
      <c r="E419" s="16" t="s">
        <v>9</v>
      </c>
      <c r="F419" s="17">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t="str">
        <f>_xlfn.XLOOKUP(calls[[#This Row],[Customer ID]],customers[Customer ID],customers[City])</f>
        <v>Cincinnati</v>
      </c>
      <c r="N419">
        <f>_xlfn.XLOOKUP(calls[[#This Row],[Customer ID]],customers[Customer ID],customers[Age])</f>
        <v>28</v>
      </c>
      <c r="O419" t="str">
        <f>_xlfn.XLOOKUP(calls[[#This Row],[Customer ID]],customers[Customer ID],customers[Gender])</f>
        <v>Female</v>
      </c>
    </row>
    <row r="420" spans="2:15" x14ac:dyDescent="0.55000000000000004">
      <c r="B420" t="s">
        <v>442</v>
      </c>
      <c r="C420" t="s">
        <v>23</v>
      </c>
      <c r="D420">
        <v>108</v>
      </c>
      <c r="E420" s="16" t="s">
        <v>9</v>
      </c>
      <c r="F420" s="17">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t="str">
        <f>_xlfn.XLOOKUP(calls[[#This Row],[Customer ID]],customers[Customer ID],customers[City])</f>
        <v>Columbus</v>
      </c>
      <c r="N420">
        <f>_xlfn.XLOOKUP(calls[[#This Row],[Customer ID]],customers[Customer ID],customers[Age])</f>
        <v>37</v>
      </c>
      <c r="O420" t="str">
        <f>_xlfn.XLOOKUP(calls[[#This Row],[Customer ID]],customers[Customer ID],customers[Gender])</f>
        <v>Male</v>
      </c>
    </row>
    <row r="421" spans="2:15" x14ac:dyDescent="0.55000000000000004">
      <c r="B421" t="s">
        <v>443</v>
      </c>
      <c r="C421" t="s">
        <v>8</v>
      </c>
      <c r="D421">
        <v>15</v>
      </c>
      <c r="E421" s="16" t="s">
        <v>9</v>
      </c>
      <c r="F421" s="17">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t="str">
        <f>_xlfn.XLOOKUP(calls[[#This Row],[Customer ID]],customers[Customer ID],customers[City])</f>
        <v>Cincinnati</v>
      </c>
      <c r="N421">
        <f>_xlfn.XLOOKUP(calls[[#This Row],[Customer ID]],customers[Customer ID],customers[Age])</f>
        <v>30</v>
      </c>
      <c r="O421" t="str">
        <f>_xlfn.XLOOKUP(calls[[#This Row],[Customer ID]],customers[Customer ID],customers[Gender])</f>
        <v>Female</v>
      </c>
    </row>
    <row r="422" spans="2:15" x14ac:dyDescent="0.55000000000000004">
      <c r="B422" t="s">
        <v>444</v>
      </c>
      <c r="C422" t="s">
        <v>23</v>
      </c>
      <c r="D422">
        <v>66</v>
      </c>
      <c r="E422" s="16" t="s">
        <v>9</v>
      </c>
      <c r="F422" s="17">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t="str">
        <f>_xlfn.XLOOKUP(calls[[#This Row],[Customer ID]],customers[Customer ID],customers[City])</f>
        <v>Columbus</v>
      </c>
      <c r="N422">
        <f>_xlfn.XLOOKUP(calls[[#This Row],[Customer ID]],customers[Customer ID],customers[Age])</f>
        <v>37</v>
      </c>
      <c r="O422" t="str">
        <f>_xlfn.XLOOKUP(calls[[#This Row],[Customer ID]],customers[Customer ID],customers[Gender])</f>
        <v>Male</v>
      </c>
    </row>
    <row r="423" spans="2:15" x14ac:dyDescent="0.55000000000000004">
      <c r="B423" t="s">
        <v>445</v>
      </c>
      <c r="C423" t="s">
        <v>15</v>
      </c>
      <c r="D423">
        <v>126</v>
      </c>
      <c r="E423" s="16" t="s">
        <v>11</v>
      </c>
      <c r="F423" s="17">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t="str">
        <f>_xlfn.XLOOKUP(calls[[#This Row],[Customer ID]],customers[Customer ID],customers[City])</f>
        <v>Cleveland</v>
      </c>
      <c r="N423">
        <f>_xlfn.XLOOKUP(calls[[#This Row],[Customer ID]],customers[Customer ID],customers[Age])</f>
        <v>22</v>
      </c>
      <c r="O423" t="str">
        <f>_xlfn.XLOOKUP(calls[[#This Row],[Customer ID]],customers[Customer ID],customers[Gender])</f>
        <v>Female</v>
      </c>
    </row>
    <row r="424" spans="2:15" x14ac:dyDescent="0.55000000000000004">
      <c r="B424" t="s">
        <v>446</v>
      </c>
      <c r="C424" t="s">
        <v>16</v>
      </c>
      <c r="D424">
        <v>26</v>
      </c>
      <c r="E424" s="16" t="s">
        <v>10</v>
      </c>
      <c r="F424" s="17">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t="str">
        <f>_xlfn.XLOOKUP(calls[[#This Row],[Customer ID]],customers[Customer ID],customers[City])</f>
        <v>Cincinnati</v>
      </c>
      <c r="N424">
        <f>_xlfn.XLOOKUP(calls[[#This Row],[Customer ID]],customers[Customer ID],customers[Age])</f>
        <v>28</v>
      </c>
      <c r="O424" t="str">
        <f>_xlfn.XLOOKUP(calls[[#This Row],[Customer ID]],customers[Customer ID],customers[Gender])</f>
        <v>Female</v>
      </c>
    </row>
    <row r="425" spans="2:15" x14ac:dyDescent="0.55000000000000004">
      <c r="B425" t="s">
        <v>447</v>
      </c>
      <c r="C425" t="s">
        <v>24</v>
      </c>
      <c r="D425">
        <v>105</v>
      </c>
      <c r="E425" s="16" t="s">
        <v>11</v>
      </c>
      <c r="F425" s="17">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t="str">
        <f>_xlfn.XLOOKUP(calls[[#This Row],[Customer ID]],customers[Customer ID],customers[City])</f>
        <v>Cleveland</v>
      </c>
      <c r="N425">
        <f>_xlfn.XLOOKUP(calls[[#This Row],[Customer ID]],customers[Customer ID],customers[Age])</f>
        <v>31</v>
      </c>
      <c r="O425" t="str">
        <f>_xlfn.XLOOKUP(calls[[#This Row],[Customer ID]],customers[Customer ID],customers[Gender])</f>
        <v>Male</v>
      </c>
    </row>
    <row r="426" spans="2:15" x14ac:dyDescent="0.55000000000000004">
      <c r="B426" t="s">
        <v>448</v>
      </c>
      <c r="C426" t="s">
        <v>24</v>
      </c>
      <c r="D426">
        <v>31</v>
      </c>
      <c r="E426" s="16" t="s">
        <v>11</v>
      </c>
      <c r="F426" s="17">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t="str">
        <f>_xlfn.XLOOKUP(calls[[#This Row],[Customer ID]],customers[Customer ID],customers[City])</f>
        <v>Cleveland</v>
      </c>
      <c r="N426">
        <f>_xlfn.XLOOKUP(calls[[#This Row],[Customer ID]],customers[Customer ID],customers[Age])</f>
        <v>31</v>
      </c>
      <c r="O426" t="str">
        <f>_xlfn.XLOOKUP(calls[[#This Row],[Customer ID]],customers[Customer ID],customers[Gender])</f>
        <v>Male</v>
      </c>
    </row>
    <row r="427" spans="2:15" x14ac:dyDescent="0.55000000000000004">
      <c r="B427" t="s">
        <v>449</v>
      </c>
      <c r="C427" t="s">
        <v>23</v>
      </c>
      <c r="D427">
        <v>109</v>
      </c>
      <c r="E427" s="16" t="s">
        <v>9</v>
      </c>
      <c r="F427" s="17">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t="str">
        <f>_xlfn.XLOOKUP(calls[[#This Row],[Customer ID]],customers[Customer ID],customers[City])</f>
        <v>Columbus</v>
      </c>
      <c r="N427">
        <f>_xlfn.XLOOKUP(calls[[#This Row],[Customer ID]],customers[Customer ID],customers[Age])</f>
        <v>37</v>
      </c>
      <c r="O427" t="str">
        <f>_xlfn.XLOOKUP(calls[[#This Row],[Customer ID]],customers[Customer ID],customers[Gender])</f>
        <v>Male</v>
      </c>
    </row>
    <row r="428" spans="2:15" x14ac:dyDescent="0.55000000000000004">
      <c r="B428" t="s">
        <v>450</v>
      </c>
      <c r="C428" t="s">
        <v>20</v>
      </c>
      <c r="D428">
        <v>113</v>
      </c>
      <c r="E428" s="16" t="s">
        <v>13</v>
      </c>
      <c r="F428" s="17">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t="str">
        <f>_xlfn.XLOOKUP(calls[[#This Row],[Customer ID]],customers[Customer ID],customers[City])</f>
        <v>Cincinnati</v>
      </c>
      <c r="N428">
        <f>_xlfn.XLOOKUP(calls[[#This Row],[Customer ID]],customers[Customer ID],customers[Age])</f>
        <v>26</v>
      </c>
      <c r="O428" t="str">
        <f>_xlfn.XLOOKUP(calls[[#This Row],[Customer ID]],customers[Customer ID],customers[Gender])</f>
        <v>Male</v>
      </c>
    </row>
    <row r="429" spans="2:15" x14ac:dyDescent="0.55000000000000004">
      <c r="B429" t="s">
        <v>451</v>
      </c>
      <c r="C429" t="s">
        <v>15</v>
      </c>
      <c r="D429">
        <v>101</v>
      </c>
      <c r="E429" s="16" t="s">
        <v>10</v>
      </c>
      <c r="F429" s="17">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t="str">
        <f>_xlfn.XLOOKUP(calls[[#This Row],[Customer ID]],customers[Customer ID],customers[City])</f>
        <v>Cleveland</v>
      </c>
      <c r="N429">
        <f>_xlfn.XLOOKUP(calls[[#This Row],[Customer ID]],customers[Customer ID],customers[Age])</f>
        <v>22</v>
      </c>
      <c r="O429" t="str">
        <f>_xlfn.XLOOKUP(calls[[#This Row],[Customer ID]],customers[Customer ID],customers[Gender])</f>
        <v>Female</v>
      </c>
    </row>
    <row r="430" spans="2:15" x14ac:dyDescent="0.55000000000000004">
      <c r="B430" t="s">
        <v>452</v>
      </c>
      <c r="C430" t="s">
        <v>21</v>
      </c>
      <c r="D430">
        <v>156</v>
      </c>
      <c r="E430" s="16" t="s">
        <v>10</v>
      </c>
      <c r="F430" s="17">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t="str">
        <f>_xlfn.XLOOKUP(calls[[#This Row],[Customer ID]],customers[Customer ID],customers[City])</f>
        <v>Columbus</v>
      </c>
      <c r="N430">
        <f>_xlfn.XLOOKUP(calls[[#This Row],[Customer ID]],customers[Customer ID],customers[Age])</f>
        <v>38</v>
      </c>
      <c r="O430" t="str">
        <f>_xlfn.XLOOKUP(calls[[#This Row],[Customer ID]],customers[Customer ID],customers[Gender])</f>
        <v>Female</v>
      </c>
    </row>
    <row r="431" spans="2:15" x14ac:dyDescent="0.55000000000000004">
      <c r="B431" t="s">
        <v>453</v>
      </c>
      <c r="C431" t="s">
        <v>23</v>
      </c>
      <c r="D431">
        <v>145</v>
      </c>
      <c r="E431" s="16" t="s">
        <v>13</v>
      </c>
      <c r="F431" s="17">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t="str">
        <f>_xlfn.XLOOKUP(calls[[#This Row],[Customer ID]],customers[Customer ID],customers[City])</f>
        <v>Columbus</v>
      </c>
      <c r="N431">
        <f>_xlfn.XLOOKUP(calls[[#This Row],[Customer ID]],customers[Customer ID],customers[Age])</f>
        <v>37</v>
      </c>
      <c r="O431" t="str">
        <f>_xlfn.XLOOKUP(calls[[#This Row],[Customer ID]],customers[Customer ID],customers[Gender])</f>
        <v>Male</v>
      </c>
    </row>
    <row r="432" spans="2:15" x14ac:dyDescent="0.55000000000000004">
      <c r="B432" t="s">
        <v>454</v>
      </c>
      <c r="C432" t="s">
        <v>7</v>
      </c>
      <c r="D432">
        <v>36</v>
      </c>
      <c r="E432" s="16" t="s">
        <v>9</v>
      </c>
      <c r="F432" s="17">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t="str">
        <f>_xlfn.XLOOKUP(calls[[#This Row],[Customer ID]],customers[Customer ID],customers[City])</f>
        <v>Columbus</v>
      </c>
      <c r="N432">
        <f>_xlfn.XLOOKUP(calls[[#This Row],[Customer ID]],customers[Customer ID],customers[Age])</f>
        <v>23</v>
      </c>
      <c r="O432" t="str">
        <f>_xlfn.XLOOKUP(calls[[#This Row],[Customer ID]],customers[Customer ID],customers[Gender])</f>
        <v>Male</v>
      </c>
    </row>
    <row r="433" spans="2:15" x14ac:dyDescent="0.55000000000000004">
      <c r="B433" t="s">
        <v>455</v>
      </c>
      <c r="C433" t="s">
        <v>24</v>
      </c>
      <c r="D433">
        <v>135</v>
      </c>
      <c r="E433" s="16" t="s">
        <v>6</v>
      </c>
      <c r="F433" s="17">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t="str">
        <f>_xlfn.XLOOKUP(calls[[#This Row],[Customer ID]],customers[Customer ID],customers[City])</f>
        <v>Cleveland</v>
      </c>
      <c r="N433">
        <f>_xlfn.XLOOKUP(calls[[#This Row],[Customer ID]],customers[Customer ID],customers[Age])</f>
        <v>31</v>
      </c>
      <c r="O433" t="str">
        <f>_xlfn.XLOOKUP(calls[[#This Row],[Customer ID]],customers[Customer ID],customers[Gender])</f>
        <v>Male</v>
      </c>
    </row>
    <row r="434" spans="2:15" x14ac:dyDescent="0.55000000000000004">
      <c r="B434" t="s">
        <v>456</v>
      </c>
      <c r="C434" t="s">
        <v>15</v>
      </c>
      <c r="D434">
        <v>81</v>
      </c>
      <c r="E434" s="16" t="s">
        <v>9</v>
      </c>
      <c r="F434" s="17">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t="str">
        <f>_xlfn.XLOOKUP(calls[[#This Row],[Customer ID]],customers[Customer ID],customers[City])</f>
        <v>Cleveland</v>
      </c>
      <c r="N434">
        <f>_xlfn.XLOOKUP(calls[[#This Row],[Customer ID]],customers[Customer ID],customers[Age])</f>
        <v>22</v>
      </c>
      <c r="O434" t="str">
        <f>_xlfn.XLOOKUP(calls[[#This Row],[Customer ID]],customers[Customer ID],customers[Gender])</f>
        <v>Female</v>
      </c>
    </row>
    <row r="435" spans="2:15" x14ac:dyDescent="0.55000000000000004">
      <c r="B435" t="s">
        <v>457</v>
      </c>
      <c r="C435" t="s">
        <v>15</v>
      </c>
      <c r="D435">
        <v>81</v>
      </c>
      <c r="E435" s="16" t="s">
        <v>13</v>
      </c>
      <c r="F435" s="17">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t="str">
        <f>_xlfn.XLOOKUP(calls[[#This Row],[Customer ID]],customers[Customer ID],customers[City])</f>
        <v>Cleveland</v>
      </c>
      <c r="N435">
        <f>_xlfn.XLOOKUP(calls[[#This Row],[Customer ID]],customers[Customer ID],customers[Age])</f>
        <v>22</v>
      </c>
      <c r="O435" t="str">
        <f>_xlfn.XLOOKUP(calls[[#This Row],[Customer ID]],customers[Customer ID],customers[Gender])</f>
        <v>Female</v>
      </c>
    </row>
    <row r="436" spans="2:15" x14ac:dyDescent="0.55000000000000004">
      <c r="B436" t="s">
        <v>458</v>
      </c>
      <c r="C436" t="s">
        <v>22</v>
      </c>
      <c r="D436">
        <v>93</v>
      </c>
      <c r="E436" s="16" t="s">
        <v>11</v>
      </c>
      <c r="F436" s="17">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t="str">
        <f>_xlfn.XLOOKUP(calls[[#This Row],[Customer ID]],customers[Customer ID],customers[City])</f>
        <v>Columbus</v>
      </c>
      <c r="N436">
        <f>_xlfn.XLOOKUP(calls[[#This Row],[Customer ID]],customers[Customer ID],customers[Age])</f>
        <v>25</v>
      </c>
      <c r="O436" t="str">
        <f>_xlfn.XLOOKUP(calls[[#This Row],[Customer ID]],customers[Customer ID],customers[Gender])</f>
        <v>Female</v>
      </c>
    </row>
    <row r="437" spans="2:15" x14ac:dyDescent="0.55000000000000004">
      <c r="B437" t="s">
        <v>459</v>
      </c>
      <c r="C437" t="s">
        <v>23</v>
      </c>
      <c r="D437">
        <v>14</v>
      </c>
      <c r="E437" s="16" t="s">
        <v>9</v>
      </c>
      <c r="F437" s="17">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t="str">
        <f>_xlfn.XLOOKUP(calls[[#This Row],[Customer ID]],customers[Customer ID],customers[City])</f>
        <v>Columbus</v>
      </c>
      <c r="N437">
        <f>_xlfn.XLOOKUP(calls[[#This Row],[Customer ID]],customers[Customer ID],customers[Age])</f>
        <v>37</v>
      </c>
      <c r="O437" t="str">
        <f>_xlfn.XLOOKUP(calls[[#This Row],[Customer ID]],customers[Customer ID],customers[Gender])</f>
        <v>Male</v>
      </c>
    </row>
    <row r="438" spans="2:15" x14ac:dyDescent="0.55000000000000004">
      <c r="B438" t="s">
        <v>460</v>
      </c>
      <c r="C438" t="s">
        <v>24</v>
      </c>
      <c r="D438">
        <v>95</v>
      </c>
      <c r="E438" s="16" t="s">
        <v>13</v>
      </c>
      <c r="F438" s="17">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t="str">
        <f>_xlfn.XLOOKUP(calls[[#This Row],[Customer ID]],customers[Customer ID],customers[City])</f>
        <v>Cleveland</v>
      </c>
      <c r="N438">
        <f>_xlfn.XLOOKUP(calls[[#This Row],[Customer ID]],customers[Customer ID],customers[Age])</f>
        <v>31</v>
      </c>
      <c r="O438" t="str">
        <f>_xlfn.XLOOKUP(calls[[#This Row],[Customer ID]],customers[Customer ID],customers[Gender])</f>
        <v>Male</v>
      </c>
    </row>
    <row r="439" spans="2:15" x14ac:dyDescent="0.55000000000000004">
      <c r="B439" t="s">
        <v>461</v>
      </c>
      <c r="C439" t="s">
        <v>22</v>
      </c>
      <c r="D439">
        <v>81</v>
      </c>
      <c r="E439" s="16" t="s">
        <v>13</v>
      </c>
      <c r="F439" s="17">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t="str">
        <f>_xlfn.XLOOKUP(calls[[#This Row],[Customer ID]],customers[Customer ID],customers[City])</f>
        <v>Columbus</v>
      </c>
      <c r="N439">
        <f>_xlfn.XLOOKUP(calls[[#This Row],[Customer ID]],customers[Customer ID],customers[Age])</f>
        <v>25</v>
      </c>
      <c r="O439" t="str">
        <f>_xlfn.XLOOKUP(calls[[#This Row],[Customer ID]],customers[Customer ID],customers[Gender])</f>
        <v>Female</v>
      </c>
    </row>
    <row r="440" spans="2:15" x14ac:dyDescent="0.55000000000000004">
      <c r="B440" t="s">
        <v>462</v>
      </c>
      <c r="C440" t="s">
        <v>5</v>
      </c>
      <c r="D440">
        <v>60</v>
      </c>
      <c r="E440" s="16" t="s">
        <v>9</v>
      </c>
      <c r="F440" s="17">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t="str">
        <f>_xlfn.XLOOKUP(calls[[#This Row],[Customer ID]],customers[Customer ID],customers[City])</f>
        <v>Cleveland</v>
      </c>
      <c r="N440">
        <f>_xlfn.XLOOKUP(calls[[#This Row],[Customer ID]],customers[Customer ID],customers[Age])</f>
        <v>42</v>
      </c>
      <c r="O440" t="str">
        <f>_xlfn.XLOOKUP(calls[[#This Row],[Customer ID]],customers[Customer ID],customers[Gender])</f>
        <v>Female</v>
      </c>
    </row>
    <row r="441" spans="2:15" x14ac:dyDescent="0.55000000000000004">
      <c r="B441" t="s">
        <v>463</v>
      </c>
      <c r="C441" t="s">
        <v>14</v>
      </c>
      <c r="D441">
        <v>137</v>
      </c>
      <c r="E441" s="16" t="s">
        <v>11</v>
      </c>
      <c r="F441" s="17">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t="str">
        <f>_xlfn.XLOOKUP(calls[[#This Row],[Customer ID]],customers[Customer ID],customers[City])</f>
        <v>Cleveland</v>
      </c>
      <c r="N441">
        <f>_xlfn.XLOOKUP(calls[[#This Row],[Customer ID]],customers[Customer ID],customers[Age])</f>
        <v>37</v>
      </c>
      <c r="O441" t="str">
        <f>_xlfn.XLOOKUP(calls[[#This Row],[Customer ID]],customers[Customer ID],customers[Gender])</f>
        <v>Female</v>
      </c>
    </row>
    <row r="442" spans="2:15" x14ac:dyDescent="0.55000000000000004">
      <c r="B442" t="s">
        <v>464</v>
      </c>
      <c r="C442" t="s">
        <v>12</v>
      </c>
      <c r="D442">
        <v>112</v>
      </c>
      <c r="E442" s="16" t="s">
        <v>6</v>
      </c>
      <c r="F442" s="17">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t="str">
        <f>_xlfn.XLOOKUP(calls[[#This Row],[Customer ID]],customers[Customer ID],customers[City])</f>
        <v>Cincinnati</v>
      </c>
      <c r="N442">
        <f>_xlfn.XLOOKUP(calls[[#This Row],[Customer ID]],customers[Customer ID],customers[Age])</f>
        <v>36</v>
      </c>
      <c r="O442" t="str">
        <f>_xlfn.XLOOKUP(calls[[#This Row],[Customer ID]],customers[Customer ID],customers[Gender])</f>
        <v>Male</v>
      </c>
    </row>
    <row r="443" spans="2:15" x14ac:dyDescent="0.55000000000000004">
      <c r="B443" t="s">
        <v>465</v>
      </c>
      <c r="C443" t="s">
        <v>24</v>
      </c>
      <c r="D443">
        <v>76</v>
      </c>
      <c r="E443" s="16" t="s">
        <v>10</v>
      </c>
      <c r="F443" s="17">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t="str">
        <f>_xlfn.XLOOKUP(calls[[#This Row],[Customer ID]],customers[Customer ID],customers[City])</f>
        <v>Cleveland</v>
      </c>
      <c r="N443">
        <f>_xlfn.XLOOKUP(calls[[#This Row],[Customer ID]],customers[Customer ID],customers[Age])</f>
        <v>31</v>
      </c>
      <c r="O443" t="str">
        <f>_xlfn.XLOOKUP(calls[[#This Row],[Customer ID]],customers[Customer ID],customers[Gender])</f>
        <v>Male</v>
      </c>
    </row>
    <row r="444" spans="2:15" x14ac:dyDescent="0.55000000000000004">
      <c r="B444" t="s">
        <v>466</v>
      </c>
      <c r="C444" t="s">
        <v>19</v>
      </c>
      <c r="D444">
        <v>73</v>
      </c>
      <c r="E444" s="16" t="s">
        <v>9</v>
      </c>
      <c r="F444" s="17">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t="str">
        <f>_xlfn.XLOOKUP(calls[[#This Row],[Customer ID]],customers[Customer ID],customers[City])</f>
        <v>Cleveland</v>
      </c>
      <c r="N444">
        <f>_xlfn.XLOOKUP(calls[[#This Row],[Customer ID]],customers[Customer ID],customers[Age])</f>
        <v>43</v>
      </c>
      <c r="O444" t="str">
        <f>_xlfn.XLOOKUP(calls[[#This Row],[Customer ID]],customers[Customer ID],customers[Gender])</f>
        <v>Female</v>
      </c>
    </row>
    <row r="445" spans="2:15" x14ac:dyDescent="0.55000000000000004">
      <c r="B445" t="s">
        <v>467</v>
      </c>
      <c r="C445" t="s">
        <v>18</v>
      </c>
      <c r="D445">
        <v>119</v>
      </c>
      <c r="E445" s="16" t="s">
        <v>11</v>
      </c>
      <c r="F445" s="17">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t="str">
        <f>_xlfn.XLOOKUP(calls[[#This Row],[Customer ID]],customers[Customer ID],customers[City])</f>
        <v>Cleveland</v>
      </c>
      <c r="N445">
        <f>_xlfn.XLOOKUP(calls[[#This Row],[Customer ID]],customers[Customer ID],customers[Age])</f>
        <v>30</v>
      </c>
      <c r="O445" t="str">
        <f>_xlfn.XLOOKUP(calls[[#This Row],[Customer ID]],customers[Customer ID],customers[Gender])</f>
        <v>Female</v>
      </c>
    </row>
    <row r="446" spans="2:15" x14ac:dyDescent="0.55000000000000004">
      <c r="B446" t="s">
        <v>468</v>
      </c>
      <c r="C446" t="s">
        <v>20</v>
      </c>
      <c r="D446">
        <v>135</v>
      </c>
      <c r="E446" s="16" t="s">
        <v>13</v>
      </c>
      <c r="F446" s="17">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t="str">
        <f>_xlfn.XLOOKUP(calls[[#This Row],[Customer ID]],customers[Customer ID],customers[City])</f>
        <v>Cincinnati</v>
      </c>
      <c r="N446">
        <f>_xlfn.XLOOKUP(calls[[#This Row],[Customer ID]],customers[Customer ID],customers[Age])</f>
        <v>26</v>
      </c>
      <c r="O446" t="str">
        <f>_xlfn.XLOOKUP(calls[[#This Row],[Customer ID]],customers[Customer ID],customers[Gender])</f>
        <v>Male</v>
      </c>
    </row>
    <row r="447" spans="2:15" x14ac:dyDescent="0.55000000000000004">
      <c r="B447" t="s">
        <v>469</v>
      </c>
      <c r="C447" t="s">
        <v>14</v>
      </c>
      <c r="D447">
        <v>41</v>
      </c>
      <c r="E447" s="16" t="s">
        <v>6</v>
      </c>
      <c r="F447" s="17">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t="str">
        <f>_xlfn.XLOOKUP(calls[[#This Row],[Customer ID]],customers[Customer ID],customers[City])</f>
        <v>Cleveland</v>
      </c>
      <c r="N447">
        <f>_xlfn.XLOOKUP(calls[[#This Row],[Customer ID]],customers[Customer ID],customers[Age])</f>
        <v>37</v>
      </c>
      <c r="O447" t="str">
        <f>_xlfn.XLOOKUP(calls[[#This Row],[Customer ID]],customers[Customer ID],customers[Gender])</f>
        <v>Female</v>
      </c>
    </row>
    <row r="448" spans="2:15" x14ac:dyDescent="0.55000000000000004">
      <c r="B448" t="s">
        <v>470</v>
      </c>
      <c r="C448" t="s">
        <v>23</v>
      </c>
      <c r="D448">
        <v>35</v>
      </c>
      <c r="E448" s="16" t="s">
        <v>13</v>
      </c>
      <c r="F448" s="17">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t="str">
        <f>_xlfn.XLOOKUP(calls[[#This Row],[Customer ID]],customers[Customer ID],customers[City])</f>
        <v>Columbus</v>
      </c>
      <c r="N448">
        <f>_xlfn.XLOOKUP(calls[[#This Row],[Customer ID]],customers[Customer ID],customers[Age])</f>
        <v>37</v>
      </c>
      <c r="O448" t="str">
        <f>_xlfn.XLOOKUP(calls[[#This Row],[Customer ID]],customers[Customer ID],customers[Gender])</f>
        <v>Male</v>
      </c>
    </row>
    <row r="449" spans="2:15" x14ac:dyDescent="0.55000000000000004">
      <c r="B449" t="s">
        <v>471</v>
      </c>
      <c r="C449" t="s">
        <v>20</v>
      </c>
      <c r="D449">
        <v>96</v>
      </c>
      <c r="E449" s="16" t="s">
        <v>9</v>
      </c>
      <c r="F449" s="17">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t="str">
        <f>_xlfn.XLOOKUP(calls[[#This Row],[Customer ID]],customers[Customer ID],customers[City])</f>
        <v>Cincinnati</v>
      </c>
      <c r="N449">
        <f>_xlfn.XLOOKUP(calls[[#This Row],[Customer ID]],customers[Customer ID],customers[Age])</f>
        <v>26</v>
      </c>
      <c r="O449" t="str">
        <f>_xlfn.XLOOKUP(calls[[#This Row],[Customer ID]],customers[Customer ID],customers[Gender])</f>
        <v>Male</v>
      </c>
    </row>
    <row r="450" spans="2:15" x14ac:dyDescent="0.55000000000000004">
      <c r="B450" t="s">
        <v>472</v>
      </c>
      <c r="C450" t="s">
        <v>22</v>
      </c>
      <c r="D450">
        <v>61</v>
      </c>
      <c r="E450" s="16" t="s">
        <v>6</v>
      </c>
      <c r="F450" s="17">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t="str">
        <f>_xlfn.XLOOKUP(calls[[#This Row],[Customer ID]],customers[Customer ID],customers[City])</f>
        <v>Columbus</v>
      </c>
      <c r="N450">
        <f>_xlfn.XLOOKUP(calls[[#This Row],[Customer ID]],customers[Customer ID],customers[Age])</f>
        <v>25</v>
      </c>
      <c r="O450" t="str">
        <f>_xlfn.XLOOKUP(calls[[#This Row],[Customer ID]],customers[Customer ID],customers[Gender])</f>
        <v>Female</v>
      </c>
    </row>
    <row r="451" spans="2:15" x14ac:dyDescent="0.55000000000000004">
      <c r="B451" t="s">
        <v>473</v>
      </c>
      <c r="C451" t="s">
        <v>20</v>
      </c>
      <c r="D451">
        <v>91</v>
      </c>
      <c r="E451" s="16" t="s">
        <v>6</v>
      </c>
      <c r="F451" s="17">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t="str">
        <f>_xlfn.XLOOKUP(calls[[#This Row],[Customer ID]],customers[Customer ID],customers[City])</f>
        <v>Cincinnati</v>
      </c>
      <c r="N451">
        <f>_xlfn.XLOOKUP(calls[[#This Row],[Customer ID]],customers[Customer ID],customers[Age])</f>
        <v>26</v>
      </c>
      <c r="O451" t="str">
        <f>_xlfn.XLOOKUP(calls[[#This Row],[Customer ID]],customers[Customer ID],customers[Gender])</f>
        <v>Male</v>
      </c>
    </row>
    <row r="452" spans="2:15" x14ac:dyDescent="0.55000000000000004">
      <c r="B452" t="s">
        <v>474</v>
      </c>
      <c r="C452" t="s">
        <v>17</v>
      </c>
      <c r="D452">
        <v>30</v>
      </c>
      <c r="E452" s="16" t="s">
        <v>6</v>
      </c>
      <c r="F452" s="17">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t="str">
        <f>_xlfn.XLOOKUP(calls[[#This Row],[Customer ID]],customers[Customer ID],customers[City])</f>
        <v>Columbus</v>
      </c>
      <c r="N452">
        <f>_xlfn.XLOOKUP(calls[[#This Row],[Customer ID]],customers[Customer ID],customers[Age])</f>
        <v>41</v>
      </c>
      <c r="O452" t="str">
        <f>_xlfn.XLOOKUP(calls[[#This Row],[Customer ID]],customers[Customer ID],customers[Gender])</f>
        <v>Male</v>
      </c>
    </row>
    <row r="453" spans="2:15" x14ac:dyDescent="0.55000000000000004">
      <c r="B453" t="s">
        <v>475</v>
      </c>
      <c r="C453" t="s">
        <v>5</v>
      </c>
      <c r="D453">
        <v>111</v>
      </c>
      <c r="E453" s="16" t="s">
        <v>11</v>
      </c>
      <c r="F453" s="17">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t="str">
        <f>_xlfn.XLOOKUP(calls[[#This Row],[Customer ID]],customers[Customer ID],customers[City])</f>
        <v>Cleveland</v>
      </c>
      <c r="N453">
        <f>_xlfn.XLOOKUP(calls[[#This Row],[Customer ID]],customers[Customer ID],customers[Age])</f>
        <v>42</v>
      </c>
      <c r="O453" t="str">
        <f>_xlfn.XLOOKUP(calls[[#This Row],[Customer ID]],customers[Customer ID],customers[Gender])</f>
        <v>Female</v>
      </c>
    </row>
    <row r="454" spans="2:15" x14ac:dyDescent="0.55000000000000004">
      <c r="B454" t="s">
        <v>476</v>
      </c>
      <c r="C454" t="s">
        <v>22</v>
      </c>
      <c r="D454">
        <v>81</v>
      </c>
      <c r="E454" s="16" t="s">
        <v>9</v>
      </c>
      <c r="F454" s="17">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t="str">
        <f>_xlfn.XLOOKUP(calls[[#This Row],[Customer ID]],customers[Customer ID],customers[City])</f>
        <v>Columbus</v>
      </c>
      <c r="N454">
        <f>_xlfn.XLOOKUP(calls[[#This Row],[Customer ID]],customers[Customer ID],customers[Age])</f>
        <v>25</v>
      </c>
      <c r="O454" t="str">
        <f>_xlfn.XLOOKUP(calls[[#This Row],[Customer ID]],customers[Customer ID],customers[Gender])</f>
        <v>Female</v>
      </c>
    </row>
    <row r="455" spans="2:15" x14ac:dyDescent="0.55000000000000004">
      <c r="B455" t="s">
        <v>477</v>
      </c>
      <c r="C455" t="s">
        <v>24</v>
      </c>
      <c r="D455">
        <v>40</v>
      </c>
      <c r="E455" s="16" t="s">
        <v>13</v>
      </c>
      <c r="F455" s="17">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t="str">
        <f>_xlfn.XLOOKUP(calls[[#This Row],[Customer ID]],customers[Customer ID],customers[City])</f>
        <v>Cleveland</v>
      </c>
      <c r="N455">
        <f>_xlfn.XLOOKUP(calls[[#This Row],[Customer ID]],customers[Customer ID],customers[Age])</f>
        <v>31</v>
      </c>
      <c r="O455" t="str">
        <f>_xlfn.XLOOKUP(calls[[#This Row],[Customer ID]],customers[Customer ID],customers[Gender])</f>
        <v>Male</v>
      </c>
    </row>
    <row r="456" spans="2:15" x14ac:dyDescent="0.55000000000000004">
      <c r="B456" t="s">
        <v>478</v>
      </c>
      <c r="C456" t="s">
        <v>5</v>
      </c>
      <c r="D456">
        <v>143</v>
      </c>
      <c r="E456" s="16" t="s">
        <v>13</v>
      </c>
      <c r="F456" s="17">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t="str">
        <f>_xlfn.XLOOKUP(calls[[#This Row],[Customer ID]],customers[Customer ID],customers[City])</f>
        <v>Cleveland</v>
      </c>
      <c r="N456">
        <f>_xlfn.XLOOKUP(calls[[#This Row],[Customer ID]],customers[Customer ID],customers[Age])</f>
        <v>42</v>
      </c>
      <c r="O456" t="str">
        <f>_xlfn.XLOOKUP(calls[[#This Row],[Customer ID]],customers[Customer ID],customers[Gender])</f>
        <v>Female</v>
      </c>
    </row>
    <row r="457" spans="2:15" x14ac:dyDescent="0.55000000000000004">
      <c r="B457" t="s">
        <v>479</v>
      </c>
      <c r="C457" t="s">
        <v>24</v>
      </c>
      <c r="D457">
        <v>70</v>
      </c>
      <c r="E457" s="16" t="s">
        <v>13</v>
      </c>
      <c r="F457" s="17">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t="str">
        <f>_xlfn.XLOOKUP(calls[[#This Row],[Customer ID]],customers[Customer ID],customers[City])</f>
        <v>Cleveland</v>
      </c>
      <c r="N457">
        <f>_xlfn.XLOOKUP(calls[[#This Row],[Customer ID]],customers[Customer ID],customers[Age])</f>
        <v>31</v>
      </c>
      <c r="O457" t="str">
        <f>_xlfn.XLOOKUP(calls[[#This Row],[Customer ID]],customers[Customer ID],customers[Gender])</f>
        <v>Male</v>
      </c>
    </row>
    <row r="458" spans="2:15" x14ac:dyDescent="0.55000000000000004">
      <c r="B458" t="s">
        <v>480</v>
      </c>
      <c r="C458" t="s">
        <v>19</v>
      </c>
      <c r="D458">
        <v>137</v>
      </c>
      <c r="E458" s="16" t="s">
        <v>13</v>
      </c>
      <c r="F458" s="17">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t="str">
        <f>_xlfn.XLOOKUP(calls[[#This Row],[Customer ID]],customers[Customer ID],customers[City])</f>
        <v>Cleveland</v>
      </c>
      <c r="N458">
        <f>_xlfn.XLOOKUP(calls[[#This Row],[Customer ID]],customers[Customer ID],customers[Age])</f>
        <v>43</v>
      </c>
      <c r="O458" t="str">
        <f>_xlfn.XLOOKUP(calls[[#This Row],[Customer ID]],customers[Customer ID],customers[Gender])</f>
        <v>Female</v>
      </c>
    </row>
    <row r="459" spans="2:15" x14ac:dyDescent="0.55000000000000004">
      <c r="B459" t="s">
        <v>481</v>
      </c>
      <c r="C459" t="s">
        <v>20</v>
      </c>
      <c r="D459">
        <v>52</v>
      </c>
      <c r="E459" s="16" t="s">
        <v>9</v>
      </c>
      <c r="F459" s="17">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t="str">
        <f>_xlfn.XLOOKUP(calls[[#This Row],[Customer ID]],customers[Customer ID],customers[City])</f>
        <v>Cincinnati</v>
      </c>
      <c r="N459">
        <f>_xlfn.XLOOKUP(calls[[#This Row],[Customer ID]],customers[Customer ID],customers[Age])</f>
        <v>26</v>
      </c>
      <c r="O459" t="str">
        <f>_xlfn.XLOOKUP(calls[[#This Row],[Customer ID]],customers[Customer ID],customers[Gender])</f>
        <v>Male</v>
      </c>
    </row>
    <row r="460" spans="2:15" x14ac:dyDescent="0.55000000000000004">
      <c r="B460" t="s">
        <v>482</v>
      </c>
      <c r="C460" t="s">
        <v>12</v>
      </c>
      <c r="D460">
        <v>31</v>
      </c>
      <c r="E460" s="16" t="s">
        <v>11</v>
      </c>
      <c r="F460" s="17">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t="str">
        <f>_xlfn.XLOOKUP(calls[[#This Row],[Customer ID]],customers[Customer ID],customers[City])</f>
        <v>Cincinnati</v>
      </c>
      <c r="N460">
        <f>_xlfn.XLOOKUP(calls[[#This Row],[Customer ID]],customers[Customer ID],customers[Age])</f>
        <v>36</v>
      </c>
      <c r="O460" t="str">
        <f>_xlfn.XLOOKUP(calls[[#This Row],[Customer ID]],customers[Customer ID],customers[Gender])</f>
        <v>Male</v>
      </c>
    </row>
    <row r="461" spans="2:15" x14ac:dyDescent="0.55000000000000004">
      <c r="B461" t="s">
        <v>483</v>
      </c>
      <c r="C461" t="s">
        <v>20</v>
      </c>
      <c r="D461">
        <v>114</v>
      </c>
      <c r="E461" s="16" t="s">
        <v>6</v>
      </c>
      <c r="F461" s="17">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t="str">
        <f>_xlfn.XLOOKUP(calls[[#This Row],[Customer ID]],customers[Customer ID],customers[City])</f>
        <v>Cincinnati</v>
      </c>
      <c r="N461">
        <f>_xlfn.XLOOKUP(calls[[#This Row],[Customer ID]],customers[Customer ID],customers[Age])</f>
        <v>26</v>
      </c>
      <c r="O461" t="str">
        <f>_xlfn.XLOOKUP(calls[[#This Row],[Customer ID]],customers[Customer ID],customers[Gender])</f>
        <v>Male</v>
      </c>
    </row>
    <row r="462" spans="2:15" x14ac:dyDescent="0.55000000000000004">
      <c r="B462" t="s">
        <v>484</v>
      </c>
      <c r="C462" t="s">
        <v>19</v>
      </c>
      <c r="D462">
        <v>73</v>
      </c>
      <c r="E462" s="16" t="s">
        <v>10</v>
      </c>
      <c r="F462" s="17">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t="str">
        <f>_xlfn.XLOOKUP(calls[[#This Row],[Customer ID]],customers[Customer ID],customers[City])</f>
        <v>Cleveland</v>
      </c>
      <c r="N462">
        <f>_xlfn.XLOOKUP(calls[[#This Row],[Customer ID]],customers[Customer ID],customers[Age])</f>
        <v>43</v>
      </c>
      <c r="O462" t="str">
        <f>_xlfn.XLOOKUP(calls[[#This Row],[Customer ID]],customers[Customer ID],customers[Gender])</f>
        <v>Female</v>
      </c>
    </row>
    <row r="463" spans="2:15" x14ac:dyDescent="0.55000000000000004">
      <c r="B463" t="s">
        <v>485</v>
      </c>
      <c r="C463" t="s">
        <v>22</v>
      </c>
      <c r="D463">
        <v>25</v>
      </c>
      <c r="E463" s="16" t="s">
        <v>11</v>
      </c>
      <c r="F463" s="17">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t="str">
        <f>_xlfn.XLOOKUP(calls[[#This Row],[Customer ID]],customers[Customer ID],customers[City])</f>
        <v>Columbus</v>
      </c>
      <c r="N463">
        <f>_xlfn.XLOOKUP(calls[[#This Row],[Customer ID]],customers[Customer ID],customers[Age])</f>
        <v>25</v>
      </c>
      <c r="O463" t="str">
        <f>_xlfn.XLOOKUP(calls[[#This Row],[Customer ID]],customers[Customer ID],customers[Gender])</f>
        <v>Female</v>
      </c>
    </row>
    <row r="464" spans="2:15" x14ac:dyDescent="0.55000000000000004">
      <c r="B464" t="s">
        <v>486</v>
      </c>
      <c r="C464" t="s">
        <v>8</v>
      </c>
      <c r="D464">
        <v>44</v>
      </c>
      <c r="E464" s="16" t="s">
        <v>6</v>
      </c>
      <c r="F464" s="17">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t="str">
        <f>_xlfn.XLOOKUP(calls[[#This Row],[Customer ID]],customers[Customer ID],customers[City])</f>
        <v>Cincinnati</v>
      </c>
      <c r="N464">
        <f>_xlfn.XLOOKUP(calls[[#This Row],[Customer ID]],customers[Customer ID],customers[Age])</f>
        <v>30</v>
      </c>
      <c r="O464" t="str">
        <f>_xlfn.XLOOKUP(calls[[#This Row],[Customer ID]],customers[Customer ID],customers[Gender])</f>
        <v>Female</v>
      </c>
    </row>
    <row r="465" spans="2:15" x14ac:dyDescent="0.55000000000000004">
      <c r="B465" t="s">
        <v>487</v>
      </c>
      <c r="C465" t="s">
        <v>7</v>
      </c>
      <c r="D465">
        <v>34</v>
      </c>
      <c r="E465" s="16" t="s">
        <v>9</v>
      </c>
      <c r="F465" s="17">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t="str">
        <f>_xlfn.XLOOKUP(calls[[#This Row],[Customer ID]],customers[Customer ID],customers[City])</f>
        <v>Columbus</v>
      </c>
      <c r="N465">
        <f>_xlfn.XLOOKUP(calls[[#This Row],[Customer ID]],customers[Customer ID],customers[Age])</f>
        <v>23</v>
      </c>
      <c r="O465" t="str">
        <f>_xlfn.XLOOKUP(calls[[#This Row],[Customer ID]],customers[Customer ID],customers[Gender])</f>
        <v>Male</v>
      </c>
    </row>
    <row r="466" spans="2:15" x14ac:dyDescent="0.55000000000000004">
      <c r="B466" t="s">
        <v>488</v>
      </c>
      <c r="C466" t="s">
        <v>5</v>
      </c>
      <c r="D466">
        <v>89</v>
      </c>
      <c r="E466" s="16" t="s">
        <v>13</v>
      </c>
      <c r="F466" s="17">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t="str">
        <f>_xlfn.XLOOKUP(calls[[#This Row],[Customer ID]],customers[Customer ID],customers[City])</f>
        <v>Cleveland</v>
      </c>
      <c r="N466">
        <f>_xlfn.XLOOKUP(calls[[#This Row],[Customer ID]],customers[Customer ID],customers[Age])</f>
        <v>42</v>
      </c>
      <c r="O466" t="str">
        <f>_xlfn.XLOOKUP(calls[[#This Row],[Customer ID]],customers[Customer ID],customers[Gender])</f>
        <v>Female</v>
      </c>
    </row>
    <row r="467" spans="2:15" x14ac:dyDescent="0.55000000000000004">
      <c r="B467" t="s">
        <v>489</v>
      </c>
      <c r="C467" t="s">
        <v>18</v>
      </c>
      <c r="D467">
        <v>54</v>
      </c>
      <c r="E467" s="16" t="s">
        <v>11</v>
      </c>
      <c r="F467" s="17">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t="str">
        <f>_xlfn.XLOOKUP(calls[[#This Row],[Customer ID]],customers[Customer ID],customers[City])</f>
        <v>Cleveland</v>
      </c>
      <c r="N467">
        <f>_xlfn.XLOOKUP(calls[[#This Row],[Customer ID]],customers[Customer ID],customers[Age])</f>
        <v>30</v>
      </c>
      <c r="O467" t="str">
        <f>_xlfn.XLOOKUP(calls[[#This Row],[Customer ID]],customers[Customer ID],customers[Gender])</f>
        <v>Female</v>
      </c>
    </row>
    <row r="468" spans="2:15" x14ac:dyDescent="0.55000000000000004">
      <c r="B468" t="s">
        <v>490</v>
      </c>
      <c r="C468" t="s">
        <v>23</v>
      </c>
      <c r="D468">
        <v>25</v>
      </c>
      <c r="E468" s="16" t="s">
        <v>11</v>
      </c>
      <c r="F468" s="17">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t="str">
        <f>_xlfn.XLOOKUP(calls[[#This Row],[Customer ID]],customers[Customer ID],customers[City])</f>
        <v>Columbus</v>
      </c>
      <c r="N468">
        <f>_xlfn.XLOOKUP(calls[[#This Row],[Customer ID]],customers[Customer ID],customers[Age])</f>
        <v>37</v>
      </c>
      <c r="O468" t="str">
        <f>_xlfn.XLOOKUP(calls[[#This Row],[Customer ID]],customers[Customer ID],customers[Gender])</f>
        <v>Male</v>
      </c>
    </row>
    <row r="469" spans="2:15" x14ac:dyDescent="0.55000000000000004">
      <c r="B469" t="s">
        <v>491</v>
      </c>
      <c r="C469" t="s">
        <v>14</v>
      </c>
      <c r="D469">
        <v>91</v>
      </c>
      <c r="E469" s="16" t="s">
        <v>13</v>
      </c>
      <c r="F469" s="17">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t="str">
        <f>_xlfn.XLOOKUP(calls[[#This Row],[Customer ID]],customers[Customer ID],customers[City])</f>
        <v>Cleveland</v>
      </c>
      <c r="N469">
        <f>_xlfn.XLOOKUP(calls[[#This Row],[Customer ID]],customers[Customer ID],customers[Age])</f>
        <v>37</v>
      </c>
      <c r="O469" t="str">
        <f>_xlfn.XLOOKUP(calls[[#This Row],[Customer ID]],customers[Customer ID],customers[Gender])</f>
        <v>Female</v>
      </c>
    </row>
    <row r="470" spans="2:15" x14ac:dyDescent="0.55000000000000004">
      <c r="B470" t="s">
        <v>492</v>
      </c>
      <c r="C470" t="s">
        <v>8</v>
      </c>
      <c r="D470">
        <v>144</v>
      </c>
      <c r="E470" s="16" t="s">
        <v>6</v>
      </c>
      <c r="F470" s="17">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t="str">
        <f>_xlfn.XLOOKUP(calls[[#This Row],[Customer ID]],customers[Customer ID],customers[City])</f>
        <v>Cincinnati</v>
      </c>
      <c r="N470">
        <f>_xlfn.XLOOKUP(calls[[#This Row],[Customer ID]],customers[Customer ID],customers[Age])</f>
        <v>30</v>
      </c>
      <c r="O470" t="str">
        <f>_xlfn.XLOOKUP(calls[[#This Row],[Customer ID]],customers[Customer ID],customers[Gender])</f>
        <v>Female</v>
      </c>
    </row>
    <row r="471" spans="2:15" x14ac:dyDescent="0.55000000000000004">
      <c r="B471" t="s">
        <v>493</v>
      </c>
      <c r="C471" t="s">
        <v>14</v>
      </c>
      <c r="D471">
        <v>81</v>
      </c>
      <c r="E471" s="16" t="s">
        <v>9</v>
      </c>
      <c r="F471" s="17">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t="str">
        <f>_xlfn.XLOOKUP(calls[[#This Row],[Customer ID]],customers[Customer ID],customers[City])</f>
        <v>Cleveland</v>
      </c>
      <c r="N471">
        <f>_xlfn.XLOOKUP(calls[[#This Row],[Customer ID]],customers[Customer ID],customers[Age])</f>
        <v>37</v>
      </c>
      <c r="O471" t="str">
        <f>_xlfn.XLOOKUP(calls[[#This Row],[Customer ID]],customers[Customer ID],customers[Gender])</f>
        <v>Female</v>
      </c>
    </row>
    <row r="472" spans="2:15" x14ac:dyDescent="0.55000000000000004">
      <c r="B472" t="s">
        <v>494</v>
      </c>
      <c r="C472" t="s">
        <v>17</v>
      </c>
      <c r="D472">
        <v>92</v>
      </c>
      <c r="E472" s="16" t="s">
        <v>11</v>
      </c>
      <c r="F472" s="17">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t="str">
        <f>_xlfn.XLOOKUP(calls[[#This Row],[Customer ID]],customers[Customer ID],customers[City])</f>
        <v>Columbus</v>
      </c>
      <c r="N472">
        <f>_xlfn.XLOOKUP(calls[[#This Row],[Customer ID]],customers[Customer ID],customers[Age])</f>
        <v>41</v>
      </c>
      <c r="O472" t="str">
        <f>_xlfn.XLOOKUP(calls[[#This Row],[Customer ID]],customers[Customer ID],customers[Gender])</f>
        <v>Male</v>
      </c>
    </row>
    <row r="473" spans="2:15" x14ac:dyDescent="0.55000000000000004">
      <c r="B473" t="s">
        <v>495</v>
      </c>
      <c r="C473" t="s">
        <v>23</v>
      </c>
      <c r="D473">
        <v>115</v>
      </c>
      <c r="E473" s="16" t="s">
        <v>13</v>
      </c>
      <c r="F473" s="17">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t="str">
        <f>_xlfn.XLOOKUP(calls[[#This Row],[Customer ID]],customers[Customer ID],customers[City])</f>
        <v>Columbus</v>
      </c>
      <c r="N473">
        <f>_xlfn.XLOOKUP(calls[[#This Row],[Customer ID]],customers[Customer ID],customers[Age])</f>
        <v>37</v>
      </c>
      <c r="O473" t="str">
        <f>_xlfn.XLOOKUP(calls[[#This Row],[Customer ID]],customers[Customer ID],customers[Gender])</f>
        <v>Male</v>
      </c>
    </row>
    <row r="474" spans="2:15" x14ac:dyDescent="0.55000000000000004">
      <c r="B474" t="s">
        <v>496</v>
      </c>
      <c r="C474" t="s">
        <v>15</v>
      </c>
      <c r="D474">
        <v>56</v>
      </c>
      <c r="E474" s="16" t="s">
        <v>13</v>
      </c>
      <c r="F474" s="17">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t="str">
        <f>_xlfn.XLOOKUP(calls[[#This Row],[Customer ID]],customers[Customer ID],customers[City])</f>
        <v>Cleveland</v>
      </c>
      <c r="N474">
        <f>_xlfn.XLOOKUP(calls[[#This Row],[Customer ID]],customers[Customer ID],customers[Age])</f>
        <v>22</v>
      </c>
      <c r="O474" t="str">
        <f>_xlfn.XLOOKUP(calls[[#This Row],[Customer ID]],customers[Customer ID],customers[Gender])</f>
        <v>Female</v>
      </c>
    </row>
    <row r="475" spans="2:15" x14ac:dyDescent="0.55000000000000004">
      <c r="B475" t="s">
        <v>497</v>
      </c>
      <c r="C475" t="s">
        <v>12</v>
      </c>
      <c r="D475">
        <v>154</v>
      </c>
      <c r="E475" s="16" t="s">
        <v>11</v>
      </c>
      <c r="F475" s="17">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t="str">
        <f>_xlfn.XLOOKUP(calls[[#This Row],[Customer ID]],customers[Customer ID],customers[City])</f>
        <v>Cincinnati</v>
      </c>
      <c r="N475">
        <f>_xlfn.XLOOKUP(calls[[#This Row],[Customer ID]],customers[Customer ID],customers[Age])</f>
        <v>36</v>
      </c>
      <c r="O475" t="str">
        <f>_xlfn.XLOOKUP(calls[[#This Row],[Customer ID]],customers[Customer ID],customers[Gender])</f>
        <v>Male</v>
      </c>
    </row>
    <row r="476" spans="2:15" x14ac:dyDescent="0.55000000000000004">
      <c r="B476" t="s">
        <v>498</v>
      </c>
      <c r="C476" t="s">
        <v>5</v>
      </c>
      <c r="D476">
        <v>51</v>
      </c>
      <c r="E476" s="16" t="s">
        <v>13</v>
      </c>
      <c r="F476" s="17">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t="str">
        <f>_xlfn.XLOOKUP(calls[[#This Row],[Customer ID]],customers[Customer ID],customers[City])</f>
        <v>Cleveland</v>
      </c>
      <c r="N476">
        <f>_xlfn.XLOOKUP(calls[[#This Row],[Customer ID]],customers[Customer ID],customers[Age])</f>
        <v>42</v>
      </c>
      <c r="O476" t="str">
        <f>_xlfn.XLOOKUP(calls[[#This Row],[Customer ID]],customers[Customer ID],customers[Gender])</f>
        <v>Female</v>
      </c>
    </row>
    <row r="477" spans="2:15" x14ac:dyDescent="0.55000000000000004">
      <c r="B477" t="s">
        <v>499</v>
      </c>
      <c r="C477" t="s">
        <v>7</v>
      </c>
      <c r="D477">
        <v>21</v>
      </c>
      <c r="E477" s="16" t="s">
        <v>9</v>
      </c>
      <c r="F477" s="17">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t="str">
        <f>_xlfn.XLOOKUP(calls[[#This Row],[Customer ID]],customers[Customer ID],customers[City])</f>
        <v>Columbus</v>
      </c>
      <c r="N477">
        <f>_xlfn.XLOOKUP(calls[[#This Row],[Customer ID]],customers[Customer ID],customers[Age])</f>
        <v>23</v>
      </c>
      <c r="O477" t="str">
        <f>_xlfn.XLOOKUP(calls[[#This Row],[Customer ID]],customers[Customer ID],customers[Gender])</f>
        <v>Male</v>
      </c>
    </row>
    <row r="478" spans="2:15" x14ac:dyDescent="0.55000000000000004">
      <c r="B478" t="s">
        <v>500</v>
      </c>
      <c r="C478" t="s">
        <v>23</v>
      </c>
      <c r="D478">
        <v>80</v>
      </c>
      <c r="E478" s="16" t="s">
        <v>13</v>
      </c>
      <c r="F478" s="17">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t="str">
        <f>_xlfn.XLOOKUP(calls[[#This Row],[Customer ID]],customers[Customer ID],customers[City])</f>
        <v>Columbus</v>
      </c>
      <c r="N478">
        <f>_xlfn.XLOOKUP(calls[[#This Row],[Customer ID]],customers[Customer ID],customers[Age])</f>
        <v>37</v>
      </c>
      <c r="O478" t="str">
        <f>_xlfn.XLOOKUP(calls[[#This Row],[Customer ID]],customers[Customer ID],customers[Gender])</f>
        <v>Male</v>
      </c>
    </row>
    <row r="479" spans="2:15" x14ac:dyDescent="0.55000000000000004">
      <c r="B479" t="s">
        <v>501</v>
      </c>
      <c r="C479" t="s">
        <v>5</v>
      </c>
      <c r="D479">
        <v>139</v>
      </c>
      <c r="E479" s="16" t="s">
        <v>11</v>
      </c>
      <c r="F479" s="17">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t="str">
        <f>_xlfn.XLOOKUP(calls[[#This Row],[Customer ID]],customers[Customer ID],customers[City])</f>
        <v>Cleveland</v>
      </c>
      <c r="N479">
        <f>_xlfn.XLOOKUP(calls[[#This Row],[Customer ID]],customers[Customer ID],customers[Age])</f>
        <v>42</v>
      </c>
      <c r="O479" t="str">
        <f>_xlfn.XLOOKUP(calls[[#This Row],[Customer ID]],customers[Customer ID],customers[Gender])</f>
        <v>Female</v>
      </c>
    </row>
    <row r="480" spans="2:15" x14ac:dyDescent="0.55000000000000004">
      <c r="B480" t="s">
        <v>502</v>
      </c>
      <c r="C480" t="s">
        <v>24</v>
      </c>
      <c r="D480">
        <v>50</v>
      </c>
      <c r="E480" s="16" t="s">
        <v>9</v>
      </c>
      <c r="F480" s="17">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t="str">
        <f>_xlfn.XLOOKUP(calls[[#This Row],[Customer ID]],customers[Customer ID],customers[City])</f>
        <v>Cleveland</v>
      </c>
      <c r="N480">
        <f>_xlfn.XLOOKUP(calls[[#This Row],[Customer ID]],customers[Customer ID],customers[Age])</f>
        <v>31</v>
      </c>
      <c r="O480" t="str">
        <f>_xlfn.XLOOKUP(calls[[#This Row],[Customer ID]],customers[Customer ID],customers[Gender])</f>
        <v>Male</v>
      </c>
    </row>
    <row r="481" spans="2:15" x14ac:dyDescent="0.55000000000000004">
      <c r="B481" t="s">
        <v>503</v>
      </c>
      <c r="C481" t="s">
        <v>23</v>
      </c>
      <c r="D481">
        <v>88</v>
      </c>
      <c r="E481" s="16" t="s">
        <v>13</v>
      </c>
      <c r="F481" s="17">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t="str">
        <f>_xlfn.XLOOKUP(calls[[#This Row],[Customer ID]],customers[Customer ID],customers[City])</f>
        <v>Columbus</v>
      </c>
      <c r="N481">
        <f>_xlfn.XLOOKUP(calls[[#This Row],[Customer ID]],customers[Customer ID],customers[Age])</f>
        <v>37</v>
      </c>
      <c r="O481" t="str">
        <f>_xlfn.XLOOKUP(calls[[#This Row],[Customer ID]],customers[Customer ID],customers[Gender])</f>
        <v>Male</v>
      </c>
    </row>
    <row r="482" spans="2:15" x14ac:dyDescent="0.55000000000000004">
      <c r="B482" t="s">
        <v>504</v>
      </c>
      <c r="C482" t="s">
        <v>18</v>
      </c>
      <c r="D482">
        <v>19</v>
      </c>
      <c r="E482" s="16" t="s">
        <v>6</v>
      </c>
      <c r="F482" s="17">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t="str">
        <f>_xlfn.XLOOKUP(calls[[#This Row],[Customer ID]],customers[Customer ID],customers[City])</f>
        <v>Cleveland</v>
      </c>
      <c r="N482">
        <f>_xlfn.XLOOKUP(calls[[#This Row],[Customer ID]],customers[Customer ID],customers[Age])</f>
        <v>30</v>
      </c>
      <c r="O482" t="str">
        <f>_xlfn.XLOOKUP(calls[[#This Row],[Customer ID]],customers[Customer ID],customers[Gender])</f>
        <v>Female</v>
      </c>
    </row>
    <row r="483" spans="2:15" x14ac:dyDescent="0.55000000000000004">
      <c r="B483" t="s">
        <v>505</v>
      </c>
      <c r="C483" t="s">
        <v>22</v>
      </c>
      <c r="D483">
        <v>104</v>
      </c>
      <c r="E483" s="16" t="s">
        <v>6</v>
      </c>
      <c r="F483" s="17">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t="str">
        <f>_xlfn.XLOOKUP(calls[[#This Row],[Customer ID]],customers[Customer ID],customers[City])</f>
        <v>Columbus</v>
      </c>
      <c r="N483">
        <f>_xlfn.XLOOKUP(calls[[#This Row],[Customer ID]],customers[Customer ID],customers[Age])</f>
        <v>25</v>
      </c>
      <c r="O483" t="str">
        <f>_xlfn.XLOOKUP(calls[[#This Row],[Customer ID]],customers[Customer ID],customers[Gender])</f>
        <v>Female</v>
      </c>
    </row>
    <row r="484" spans="2:15" x14ac:dyDescent="0.55000000000000004">
      <c r="B484" t="s">
        <v>506</v>
      </c>
      <c r="C484" t="s">
        <v>12</v>
      </c>
      <c r="D484">
        <v>67</v>
      </c>
      <c r="E484" s="16" t="s">
        <v>11</v>
      </c>
      <c r="F484" s="17">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t="str">
        <f>_xlfn.XLOOKUP(calls[[#This Row],[Customer ID]],customers[Customer ID],customers[City])</f>
        <v>Cincinnati</v>
      </c>
      <c r="N484">
        <f>_xlfn.XLOOKUP(calls[[#This Row],[Customer ID]],customers[Customer ID],customers[Age])</f>
        <v>36</v>
      </c>
      <c r="O484" t="str">
        <f>_xlfn.XLOOKUP(calls[[#This Row],[Customer ID]],customers[Customer ID],customers[Gender])</f>
        <v>Male</v>
      </c>
    </row>
    <row r="485" spans="2:15" x14ac:dyDescent="0.55000000000000004">
      <c r="B485" t="s">
        <v>507</v>
      </c>
      <c r="C485" t="s">
        <v>16</v>
      </c>
      <c r="D485">
        <v>107</v>
      </c>
      <c r="E485" s="16" t="s">
        <v>6</v>
      </c>
      <c r="F485" s="17">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t="str">
        <f>_xlfn.XLOOKUP(calls[[#This Row],[Customer ID]],customers[Customer ID],customers[City])</f>
        <v>Cincinnati</v>
      </c>
      <c r="N485">
        <f>_xlfn.XLOOKUP(calls[[#This Row],[Customer ID]],customers[Customer ID],customers[Age])</f>
        <v>28</v>
      </c>
      <c r="O485" t="str">
        <f>_xlfn.XLOOKUP(calls[[#This Row],[Customer ID]],customers[Customer ID],customers[Gender])</f>
        <v>Female</v>
      </c>
    </row>
    <row r="486" spans="2:15" x14ac:dyDescent="0.55000000000000004">
      <c r="B486" t="s">
        <v>508</v>
      </c>
      <c r="C486" t="s">
        <v>16</v>
      </c>
      <c r="D486">
        <v>93</v>
      </c>
      <c r="E486" s="16" t="s">
        <v>6</v>
      </c>
      <c r="F486" s="17">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t="str">
        <f>_xlfn.XLOOKUP(calls[[#This Row],[Customer ID]],customers[Customer ID],customers[City])</f>
        <v>Cincinnati</v>
      </c>
      <c r="N486">
        <f>_xlfn.XLOOKUP(calls[[#This Row],[Customer ID]],customers[Customer ID],customers[Age])</f>
        <v>28</v>
      </c>
      <c r="O486" t="str">
        <f>_xlfn.XLOOKUP(calls[[#This Row],[Customer ID]],customers[Customer ID],customers[Gender])</f>
        <v>Female</v>
      </c>
    </row>
    <row r="487" spans="2:15" x14ac:dyDescent="0.55000000000000004">
      <c r="B487" t="s">
        <v>509</v>
      </c>
      <c r="C487" t="s">
        <v>16</v>
      </c>
      <c r="D487">
        <v>117</v>
      </c>
      <c r="E487" s="16" t="s">
        <v>11</v>
      </c>
      <c r="F487" s="17">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t="str">
        <f>_xlfn.XLOOKUP(calls[[#This Row],[Customer ID]],customers[Customer ID],customers[City])</f>
        <v>Cincinnati</v>
      </c>
      <c r="N487">
        <f>_xlfn.XLOOKUP(calls[[#This Row],[Customer ID]],customers[Customer ID],customers[Age])</f>
        <v>28</v>
      </c>
      <c r="O487" t="str">
        <f>_xlfn.XLOOKUP(calls[[#This Row],[Customer ID]],customers[Customer ID],customers[Gender])</f>
        <v>Female</v>
      </c>
    </row>
    <row r="488" spans="2:15" x14ac:dyDescent="0.55000000000000004">
      <c r="B488" t="s">
        <v>510</v>
      </c>
      <c r="C488" t="s">
        <v>24</v>
      </c>
      <c r="D488">
        <v>76</v>
      </c>
      <c r="E488" s="16" t="s">
        <v>13</v>
      </c>
      <c r="F488" s="17">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t="str">
        <f>_xlfn.XLOOKUP(calls[[#This Row],[Customer ID]],customers[Customer ID],customers[City])</f>
        <v>Cleveland</v>
      </c>
      <c r="N488">
        <f>_xlfn.XLOOKUP(calls[[#This Row],[Customer ID]],customers[Customer ID],customers[Age])</f>
        <v>31</v>
      </c>
      <c r="O488" t="str">
        <f>_xlfn.XLOOKUP(calls[[#This Row],[Customer ID]],customers[Customer ID],customers[Gender])</f>
        <v>Male</v>
      </c>
    </row>
    <row r="489" spans="2:15" x14ac:dyDescent="0.55000000000000004">
      <c r="B489" t="s">
        <v>511</v>
      </c>
      <c r="C489" t="s">
        <v>18</v>
      </c>
      <c r="D489">
        <v>64</v>
      </c>
      <c r="E489" s="16" t="s">
        <v>6</v>
      </c>
      <c r="F489" s="17">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t="str">
        <f>_xlfn.XLOOKUP(calls[[#This Row],[Customer ID]],customers[Customer ID],customers[City])</f>
        <v>Cleveland</v>
      </c>
      <c r="N489">
        <f>_xlfn.XLOOKUP(calls[[#This Row],[Customer ID]],customers[Customer ID],customers[Age])</f>
        <v>30</v>
      </c>
      <c r="O489" t="str">
        <f>_xlfn.XLOOKUP(calls[[#This Row],[Customer ID]],customers[Customer ID],customers[Gender])</f>
        <v>Female</v>
      </c>
    </row>
    <row r="490" spans="2:15" x14ac:dyDescent="0.55000000000000004">
      <c r="B490" t="s">
        <v>512</v>
      </c>
      <c r="C490" t="s">
        <v>8</v>
      </c>
      <c r="D490">
        <v>33</v>
      </c>
      <c r="E490" s="16" t="s">
        <v>6</v>
      </c>
      <c r="F490" s="17">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t="str">
        <f>_xlfn.XLOOKUP(calls[[#This Row],[Customer ID]],customers[Customer ID],customers[City])</f>
        <v>Cincinnati</v>
      </c>
      <c r="N490">
        <f>_xlfn.XLOOKUP(calls[[#This Row],[Customer ID]],customers[Customer ID],customers[Age])</f>
        <v>30</v>
      </c>
      <c r="O490" t="str">
        <f>_xlfn.XLOOKUP(calls[[#This Row],[Customer ID]],customers[Customer ID],customers[Gender])</f>
        <v>Female</v>
      </c>
    </row>
    <row r="491" spans="2:15" x14ac:dyDescent="0.55000000000000004">
      <c r="B491" t="s">
        <v>513</v>
      </c>
      <c r="C491" t="s">
        <v>16</v>
      </c>
      <c r="D491">
        <v>115</v>
      </c>
      <c r="E491" s="16" t="s">
        <v>11</v>
      </c>
      <c r="F491" s="17">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t="str">
        <f>_xlfn.XLOOKUP(calls[[#This Row],[Customer ID]],customers[Customer ID],customers[City])</f>
        <v>Cincinnati</v>
      </c>
      <c r="N491">
        <f>_xlfn.XLOOKUP(calls[[#This Row],[Customer ID]],customers[Customer ID],customers[Age])</f>
        <v>28</v>
      </c>
      <c r="O491" t="str">
        <f>_xlfn.XLOOKUP(calls[[#This Row],[Customer ID]],customers[Customer ID],customers[Gender])</f>
        <v>Female</v>
      </c>
    </row>
    <row r="492" spans="2:15" x14ac:dyDescent="0.55000000000000004">
      <c r="B492" t="s">
        <v>514</v>
      </c>
      <c r="C492" t="s">
        <v>21</v>
      </c>
      <c r="D492">
        <v>155</v>
      </c>
      <c r="E492" s="16" t="s">
        <v>13</v>
      </c>
      <c r="F492" s="17">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t="str">
        <f>_xlfn.XLOOKUP(calls[[#This Row],[Customer ID]],customers[Customer ID],customers[City])</f>
        <v>Columbus</v>
      </c>
      <c r="N492">
        <f>_xlfn.XLOOKUP(calls[[#This Row],[Customer ID]],customers[Customer ID],customers[Age])</f>
        <v>38</v>
      </c>
      <c r="O492" t="str">
        <f>_xlfn.XLOOKUP(calls[[#This Row],[Customer ID]],customers[Customer ID],customers[Gender])</f>
        <v>Female</v>
      </c>
    </row>
    <row r="493" spans="2:15" x14ac:dyDescent="0.55000000000000004">
      <c r="B493" t="s">
        <v>515</v>
      </c>
      <c r="C493" t="s">
        <v>12</v>
      </c>
      <c r="D493">
        <v>117</v>
      </c>
      <c r="E493" s="16" t="s">
        <v>13</v>
      </c>
      <c r="F493" s="17">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t="str">
        <f>_xlfn.XLOOKUP(calls[[#This Row],[Customer ID]],customers[Customer ID],customers[City])</f>
        <v>Cincinnati</v>
      </c>
      <c r="N493">
        <f>_xlfn.XLOOKUP(calls[[#This Row],[Customer ID]],customers[Customer ID],customers[Age])</f>
        <v>36</v>
      </c>
      <c r="O493" t="str">
        <f>_xlfn.XLOOKUP(calls[[#This Row],[Customer ID]],customers[Customer ID],customers[Gender])</f>
        <v>Male</v>
      </c>
    </row>
    <row r="494" spans="2:15" x14ac:dyDescent="0.55000000000000004">
      <c r="B494" t="s">
        <v>516</v>
      </c>
      <c r="C494" t="s">
        <v>5</v>
      </c>
      <c r="D494">
        <v>63</v>
      </c>
      <c r="E494" s="16" t="s">
        <v>13</v>
      </c>
      <c r="F494" s="17">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t="str">
        <f>_xlfn.XLOOKUP(calls[[#This Row],[Customer ID]],customers[Customer ID],customers[City])</f>
        <v>Cleveland</v>
      </c>
      <c r="N494">
        <f>_xlfn.XLOOKUP(calls[[#This Row],[Customer ID]],customers[Customer ID],customers[Age])</f>
        <v>42</v>
      </c>
      <c r="O494" t="str">
        <f>_xlfn.XLOOKUP(calls[[#This Row],[Customer ID]],customers[Customer ID],customers[Gender])</f>
        <v>Female</v>
      </c>
    </row>
    <row r="495" spans="2:15" x14ac:dyDescent="0.55000000000000004">
      <c r="B495" t="s">
        <v>517</v>
      </c>
      <c r="C495" t="s">
        <v>18</v>
      </c>
      <c r="D495">
        <v>59</v>
      </c>
      <c r="E495" s="16" t="s">
        <v>10</v>
      </c>
      <c r="F495" s="17">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t="str">
        <f>_xlfn.XLOOKUP(calls[[#This Row],[Customer ID]],customers[Customer ID],customers[City])</f>
        <v>Cleveland</v>
      </c>
      <c r="N495">
        <f>_xlfn.XLOOKUP(calls[[#This Row],[Customer ID]],customers[Customer ID],customers[Age])</f>
        <v>30</v>
      </c>
      <c r="O495" t="str">
        <f>_xlfn.XLOOKUP(calls[[#This Row],[Customer ID]],customers[Customer ID],customers[Gender])</f>
        <v>Female</v>
      </c>
    </row>
    <row r="496" spans="2:15" x14ac:dyDescent="0.55000000000000004">
      <c r="B496" t="s">
        <v>518</v>
      </c>
      <c r="C496" t="s">
        <v>7</v>
      </c>
      <c r="D496">
        <v>133</v>
      </c>
      <c r="E496" s="16" t="s">
        <v>6</v>
      </c>
      <c r="F496" s="17">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t="str">
        <f>_xlfn.XLOOKUP(calls[[#This Row],[Customer ID]],customers[Customer ID],customers[City])</f>
        <v>Columbus</v>
      </c>
      <c r="N496">
        <f>_xlfn.XLOOKUP(calls[[#This Row],[Customer ID]],customers[Customer ID],customers[Age])</f>
        <v>23</v>
      </c>
      <c r="O496" t="str">
        <f>_xlfn.XLOOKUP(calls[[#This Row],[Customer ID]],customers[Customer ID],customers[Gender])</f>
        <v>Male</v>
      </c>
    </row>
    <row r="497" spans="2:15" x14ac:dyDescent="0.55000000000000004">
      <c r="B497" t="s">
        <v>519</v>
      </c>
      <c r="C497" t="s">
        <v>17</v>
      </c>
      <c r="D497">
        <v>101</v>
      </c>
      <c r="E497" s="16" t="s">
        <v>9</v>
      </c>
      <c r="F497" s="17">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t="str">
        <f>_xlfn.XLOOKUP(calls[[#This Row],[Customer ID]],customers[Customer ID],customers[City])</f>
        <v>Columbus</v>
      </c>
      <c r="N497">
        <f>_xlfn.XLOOKUP(calls[[#This Row],[Customer ID]],customers[Customer ID],customers[Age])</f>
        <v>41</v>
      </c>
      <c r="O497" t="str">
        <f>_xlfn.XLOOKUP(calls[[#This Row],[Customer ID]],customers[Customer ID],customers[Gender])</f>
        <v>Male</v>
      </c>
    </row>
    <row r="498" spans="2:15" x14ac:dyDescent="0.55000000000000004">
      <c r="B498" t="s">
        <v>520</v>
      </c>
      <c r="C498" t="s">
        <v>14</v>
      </c>
      <c r="D498">
        <v>151</v>
      </c>
      <c r="E498" s="16" t="s">
        <v>13</v>
      </c>
      <c r="F498" s="17">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t="str">
        <f>_xlfn.XLOOKUP(calls[[#This Row],[Customer ID]],customers[Customer ID],customers[City])</f>
        <v>Cleveland</v>
      </c>
      <c r="N498">
        <f>_xlfn.XLOOKUP(calls[[#This Row],[Customer ID]],customers[Customer ID],customers[Age])</f>
        <v>37</v>
      </c>
      <c r="O498" t="str">
        <f>_xlfn.XLOOKUP(calls[[#This Row],[Customer ID]],customers[Customer ID],customers[Gender])</f>
        <v>Female</v>
      </c>
    </row>
    <row r="499" spans="2:15" x14ac:dyDescent="0.55000000000000004">
      <c r="B499" t="s">
        <v>521</v>
      </c>
      <c r="C499" t="s">
        <v>8</v>
      </c>
      <c r="D499">
        <v>146</v>
      </c>
      <c r="E499" s="16" t="s">
        <v>6</v>
      </c>
      <c r="F499" s="17">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t="str">
        <f>_xlfn.XLOOKUP(calls[[#This Row],[Customer ID]],customers[Customer ID],customers[City])</f>
        <v>Cincinnati</v>
      </c>
      <c r="N499">
        <f>_xlfn.XLOOKUP(calls[[#This Row],[Customer ID]],customers[Customer ID],customers[Age])</f>
        <v>30</v>
      </c>
      <c r="O499" t="str">
        <f>_xlfn.XLOOKUP(calls[[#This Row],[Customer ID]],customers[Customer ID],customers[Gender])</f>
        <v>Female</v>
      </c>
    </row>
    <row r="500" spans="2:15" x14ac:dyDescent="0.55000000000000004">
      <c r="B500" t="s">
        <v>522</v>
      </c>
      <c r="C500" t="s">
        <v>5</v>
      </c>
      <c r="D500">
        <v>148</v>
      </c>
      <c r="E500" s="16" t="s">
        <v>6</v>
      </c>
      <c r="F500" s="17">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t="str">
        <f>_xlfn.XLOOKUP(calls[[#This Row],[Customer ID]],customers[Customer ID],customers[City])</f>
        <v>Cleveland</v>
      </c>
      <c r="N500">
        <f>_xlfn.XLOOKUP(calls[[#This Row],[Customer ID]],customers[Customer ID],customers[Age])</f>
        <v>42</v>
      </c>
      <c r="O500" t="str">
        <f>_xlfn.XLOOKUP(calls[[#This Row],[Customer ID]],customers[Customer ID],customers[Gender])</f>
        <v>Female</v>
      </c>
    </row>
    <row r="501" spans="2:15" x14ac:dyDescent="0.55000000000000004">
      <c r="B501" t="s">
        <v>523</v>
      </c>
      <c r="C501" t="s">
        <v>14</v>
      </c>
      <c r="D501">
        <v>81</v>
      </c>
      <c r="E501" s="16" t="s">
        <v>6</v>
      </c>
      <c r="F501" s="17">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t="str">
        <f>_xlfn.XLOOKUP(calls[[#This Row],[Customer ID]],customers[Customer ID],customers[City])</f>
        <v>Cleveland</v>
      </c>
      <c r="N501">
        <f>_xlfn.XLOOKUP(calls[[#This Row],[Customer ID]],customers[Customer ID],customers[Age])</f>
        <v>37</v>
      </c>
      <c r="O501" t="str">
        <f>_xlfn.XLOOKUP(calls[[#This Row],[Customer ID]],customers[Customer ID],customers[Gender])</f>
        <v>Female</v>
      </c>
    </row>
    <row r="502" spans="2:15" x14ac:dyDescent="0.55000000000000004">
      <c r="B502" t="s">
        <v>524</v>
      </c>
      <c r="C502" t="s">
        <v>22</v>
      </c>
      <c r="D502">
        <v>115</v>
      </c>
      <c r="E502" s="16" t="s">
        <v>6</v>
      </c>
      <c r="F502" s="17">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t="str">
        <f>_xlfn.XLOOKUP(calls[[#This Row],[Customer ID]],customers[Customer ID],customers[City])</f>
        <v>Columbus</v>
      </c>
      <c r="N502">
        <f>_xlfn.XLOOKUP(calls[[#This Row],[Customer ID]],customers[Customer ID],customers[Age])</f>
        <v>25</v>
      </c>
      <c r="O502" t="str">
        <f>_xlfn.XLOOKUP(calls[[#This Row],[Customer ID]],customers[Customer ID],customers[Gender])</f>
        <v>Female</v>
      </c>
    </row>
    <row r="503" spans="2:15" x14ac:dyDescent="0.55000000000000004">
      <c r="B503" t="s">
        <v>525</v>
      </c>
      <c r="C503" t="s">
        <v>22</v>
      </c>
      <c r="D503">
        <v>117</v>
      </c>
      <c r="E503" s="16" t="s">
        <v>13</v>
      </c>
      <c r="F503" s="17">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t="str">
        <f>_xlfn.XLOOKUP(calls[[#This Row],[Customer ID]],customers[Customer ID],customers[City])</f>
        <v>Columbus</v>
      </c>
      <c r="N503">
        <f>_xlfn.XLOOKUP(calls[[#This Row],[Customer ID]],customers[Customer ID],customers[Age])</f>
        <v>25</v>
      </c>
      <c r="O503" t="str">
        <f>_xlfn.XLOOKUP(calls[[#This Row],[Customer ID]],customers[Customer ID],customers[Gender])</f>
        <v>Female</v>
      </c>
    </row>
    <row r="504" spans="2:15" x14ac:dyDescent="0.55000000000000004">
      <c r="B504" t="s">
        <v>526</v>
      </c>
      <c r="C504" t="s">
        <v>17</v>
      </c>
      <c r="D504">
        <v>110</v>
      </c>
      <c r="E504" s="16" t="s">
        <v>11</v>
      </c>
      <c r="F504" s="17">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t="str">
        <f>_xlfn.XLOOKUP(calls[[#This Row],[Customer ID]],customers[Customer ID],customers[City])</f>
        <v>Columbus</v>
      </c>
      <c r="N504">
        <f>_xlfn.XLOOKUP(calls[[#This Row],[Customer ID]],customers[Customer ID],customers[Age])</f>
        <v>41</v>
      </c>
      <c r="O504" t="str">
        <f>_xlfn.XLOOKUP(calls[[#This Row],[Customer ID]],customers[Customer ID],customers[Gender])</f>
        <v>Male</v>
      </c>
    </row>
    <row r="505" spans="2:15" x14ac:dyDescent="0.55000000000000004">
      <c r="B505" t="s">
        <v>527</v>
      </c>
      <c r="C505" t="s">
        <v>24</v>
      </c>
      <c r="D505">
        <v>103</v>
      </c>
      <c r="E505" s="16" t="s">
        <v>10</v>
      </c>
      <c r="F505" s="17">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t="str">
        <f>_xlfn.XLOOKUP(calls[[#This Row],[Customer ID]],customers[Customer ID],customers[City])</f>
        <v>Cleveland</v>
      </c>
      <c r="N505">
        <f>_xlfn.XLOOKUP(calls[[#This Row],[Customer ID]],customers[Customer ID],customers[Age])</f>
        <v>31</v>
      </c>
      <c r="O505" t="str">
        <f>_xlfn.XLOOKUP(calls[[#This Row],[Customer ID]],customers[Customer ID],customers[Gender])</f>
        <v>Male</v>
      </c>
    </row>
    <row r="506" spans="2:15" x14ac:dyDescent="0.55000000000000004">
      <c r="B506" t="s">
        <v>528</v>
      </c>
      <c r="C506" t="s">
        <v>21</v>
      </c>
      <c r="D506">
        <v>45</v>
      </c>
      <c r="E506" s="16" t="s">
        <v>10</v>
      </c>
      <c r="F506" s="17">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t="str">
        <f>_xlfn.XLOOKUP(calls[[#This Row],[Customer ID]],customers[Customer ID],customers[City])</f>
        <v>Columbus</v>
      </c>
      <c r="N506">
        <f>_xlfn.XLOOKUP(calls[[#This Row],[Customer ID]],customers[Customer ID],customers[Age])</f>
        <v>38</v>
      </c>
      <c r="O506" t="str">
        <f>_xlfn.XLOOKUP(calls[[#This Row],[Customer ID]],customers[Customer ID],customers[Gender])</f>
        <v>Female</v>
      </c>
    </row>
    <row r="507" spans="2:15" x14ac:dyDescent="0.55000000000000004">
      <c r="B507" t="s">
        <v>529</v>
      </c>
      <c r="C507" t="s">
        <v>17</v>
      </c>
      <c r="D507">
        <v>110</v>
      </c>
      <c r="E507" s="16" t="s">
        <v>9</v>
      </c>
      <c r="F507" s="17">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t="str">
        <f>_xlfn.XLOOKUP(calls[[#This Row],[Customer ID]],customers[Customer ID],customers[City])</f>
        <v>Columbus</v>
      </c>
      <c r="N507">
        <f>_xlfn.XLOOKUP(calls[[#This Row],[Customer ID]],customers[Customer ID],customers[Age])</f>
        <v>41</v>
      </c>
      <c r="O507" t="str">
        <f>_xlfn.XLOOKUP(calls[[#This Row],[Customer ID]],customers[Customer ID],customers[Gender])</f>
        <v>Male</v>
      </c>
    </row>
    <row r="508" spans="2:15" x14ac:dyDescent="0.55000000000000004">
      <c r="B508" t="s">
        <v>530</v>
      </c>
      <c r="C508" t="s">
        <v>18</v>
      </c>
      <c r="D508">
        <v>43</v>
      </c>
      <c r="E508" s="16" t="s">
        <v>11</v>
      </c>
      <c r="F508" s="17">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t="str">
        <f>_xlfn.XLOOKUP(calls[[#This Row],[Customer ID]],customers[Customer ID],customers[City])</f>
        <v>Cleveland</v>
      </c>
      <c r="N508">
        <f>_xlfn.XLOOKUP(calls[[#This Row],[Customer ID]],customers[Customer ID],customers[Age])</f>
        <v>30</v>
      </c>
      <c r="O508" t="str">
        <f>_xlfn.XLOOKUP(calls[[#This Row],[Customer ID]],customers[Customer ID],customers[Gender])</f>
        <v>Female</v>
      </c>
    </row>
    <row r="509" spans="2:15" x14ac:dyDescent="0.55000000000000004">
      <c r="B509" t="s">
        <v>531</v>
      </c>
      <c r="C509" t="s">
        <v>17</v>
      </c>
      <c r="D509">
        <v>104</v>
      </c>
      <c r="E509" s="16" t="s">
        <v>13</v>
      </c>
      <c r="F509" s="17">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t="str">
        <f>_xlfn.XLOOKUP(calls[[#This Row],[Customer ID]],customers[Customer ID],customers[City])</f>
        <v>Columbus</v>
      </c>
      <c r="N509">
        <f>_xlfn.XLOOKUP(calls[[#This Row],[Customer ID]],customers[Customer ID],customers[Age])</f>
        <v>41</v>
      </c>
      <c r="O509" t="str">
        <f>_xlfn.XLOOKUP(calls[[#This Row],[Customer ID]],customers[Customer ID],customers[Gender])</f>
        <v>Male</v>
      </c>
    </row>
    <row r="510" spans="2:15" x14ac:dyDescent="0.55000000000000004">
      <c r="B510" t="s">
        <v>532</v>
      </c>
      <c r="C510" t="s">
        <v>17</v>
      </c>
      <c r="D510">
        <v>101</v>
      </c>
      <c r="E510" s="16" t="s">
        <v>13</v>
      </c>
      <c r="F510" s="17">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t="str">
        <f>_xlfn.XLOOKUP(calls[[#This Row],[Customer ID]],customers[Customer ID],customers[City])</f>
        <v>Columbus</v>
      </c>
      <c r="N510">
        <f>_xlfn.XLOOKUP(calls[[#This Row],[Customer ID]],customers[Customer ID],customers[Age])</f>
        <v>41</v>
      </c>
      <c r="O510" t="str">
        <f>_xlfn.XLOOKUP(calls[[#This Row],[Customer ID]],customers[Customer ID],customers[Gender])</f>
        <v>Male</v>
      </c>
    </row>
    <row r="511" spans="2:15" x14ac:dyDescent="0.55000000000000004">
      <c r="B511" t="s">
        <v>533</v>
      </c>
      <c r="C511" t="s">
        <v>20</v>
      </c>
      <c r="D511">
        <v>55</v>
      </c>
      <c r="E511" s="16" t="s">
        <v>11</v>
      </c>
      <c r="F511" s="17">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t="str">
        <f>_xlfn.XLOOKUP(calls[[#This Row],[Customer ID]],customers[Customer ID],customers[City])</f>
        <v>Cincinnati</v>
      </c>
      <c r="N511">
        <f>_xlfn.XLOOKUP(calls[[#This Row],[Customer ID]],customers[Customer ID],customers[Age])</f>
        <v>26</v>
      </c>
      <c r="O511" t="str">
        <f>_xlfn.XLOOKUP(calls[[#This Row],[Customer ID]],customers[Customer ID],customers[Gender])</f>
        <v>Male</v>
      </c>
    </row>
    <row r="512" spans="2:15" x14ac:dyDescent="0.55000000000000004">
      <c r="B512" t="s">
        <v>534</v>
      </c>
      <c r="C512" t="s">
        <v>14</v>
      </c>
      <c r="D512">
        <v>40</v>
      </c>
      <c r="E512" s="16" t="s">
        <v>10</v>
      </c>
      <c r="F512" s="17">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t="str">
        <f>_xlfn.XLOOKUP(calls[[#This Row],[Customer ID]],customers[Customer ID],customers[City])</f>
        <v>Cleveland</v>
      </c>
      <c r="N512">
        <f>_xlfn.XLOOKUP(calls[[#This Row],[Customer ID]],customers[Customer ID],customers[Age])</f>
        <v>37</v>
      </c>
      <c r="O512" t="str">
        <f>_xlfn.XLOOKUP(calls[[#This Row],[Customer ID]],customers[Customer ID],customers[Gender])</f>
        <v>Female</v>
      </c>
    </row>
    <row r="513" spans="2:15" x14ac:dyDescent="0.55000000000000004">
      <c r="B513" t="s">
        <v>535</v>
      </c>
      <c r="C513" t="s">
        <v>18</v>
      </c>
      <c r="D513">
        <v>122</v>
      </c>
      <c r="E513" s="16" t="s">
        <v>6</v>
      </c>
      <c r="F513" s="17">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t="str">
        <f>_xlfn.XLOOKUP(calls[[#This Row],[Customer ID]],customers[Customer ID],customers[City])</f>
        <v>Cleveland</v>
      </c>
      <c r="N513">
        <f>_xlfn.XLOOKUP(calls[[#This Row],[Customer ID]],customers[Customer ID],customers[Age])</f>
        <v>30</v>
      </c>
      <c r="O513" t="str">
        <f>_xlfn.XLOOKUP(calls[[#This Row],[Customer ID]],customers[Customer ID],customers[Gender])</f>
        <v>Female</v>
      </c>
    </row>
    <row r="514" spans="2:15" x14ac:dyDescent="0.55000000000000004">
      <c r="B514" t="s">
        <v>536</v>
      </c>
      <c r="C514" t="s">
        <v>8</v>
      </c>
      <c r="D514">
        <v>98</v>
      </c>
      <c r="E514" s="16" t="s">
        <v>13</v>
      </c>
      <c r="F514" s="17">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t="str">
        <f>_xlfn.XLOOKUP(calls[[#This Row],[Customer ID]],customers[Customer ID],customers[City])</f>
        <v>Cincinnati</v>
      </c>
      <c r="N514">
        <f>_xlfn.XLOOKUP(calls[[#This Row],[Customer ID]],customers[Customer ID],customers[Age])</f>
        <v>30</v>
      </c>
      <c r="O514" t="str">
        <f>_xlfn.XLOOKUP(calls[[#This Row],[Customer ID]],customers[Customer ID],customers[Gender])</f>
        <v>Female</v>
      </c>
    </row>
    <row r="515" spans="2:15" x14ac:dyDescent="0.55000000000000004">
      <c r="B515" t="s">
        <v>537</v>
      </c>
      <c r="C515" t="s">
        <v>22</v>
      </c>
      <c r="D515">
        <v>110</v>
      </c>
      <c r="E515" s="16" t="s">
        <v>10</v>
      </c>
      <c r="F515" s="17">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t="str">
        <f>_xlfn.XLOOKUP(calls[[#This Row],[Customer ID]],customers[Customer ID],customers[City])</f>
        <v>Columbus</v>
      </c>
      <c r="N515">
        <f>_xlfn.XLOOKUP(calls[[#This Row],[Customer ID]],customers[Customer ID],customers[Age])</f>
        <v>25</v>
      </c>
      <c r="O515" t="str">
        <f>_xlfn.XLOOKUP(calls[[#This Row],[Customer ID]],customers[Customer ID],customers[Gender])</f>
        <v>Female</v>
      </c>
    </row>
    <row r="516" spans="2:15" x14ac:dyDescent="0.55000000000000004">
      <c r="B516" t="s">
        <v>538</v>
      </c>
      <c r="C516" t="s">
        <v>22</v>
      </c>
      <c r="D516">
        <v>62</v>
      </c>
      <c r="E516" s="16" t="s">
        <v>11</v>
      </c>
      <c r="F516" s="17">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t="str">
        <f>_xlfn.XLOOKUP(calls[[#This Row],[Customer ID]],customers[Customer ID],customers[City])</f>
        <v>Columbus</v>
      </c>
      <c r="N516">
        <f>_xlfn.XLOOKUP(calls[[#This Row],[Customer ID]],customers[Customer ID],customers[Age])</f>
        <v>25</v>
      </c>
      <c r="O516" t="str">
        <f>_xlfn.XLOOKUP(calls[[#This Row],[Customer ID]],customers[Customer ID],customers[Gender])</f>
        <v>Female</v>
      </c>
    </row>
    <row r="517" spans="2:15" x14ac:dyDescent="0.55000000000000004">
      <c r="B517" t="s">
        <v>539</v>
      </c>
      <c r="C517" t="s">
        <v>18</v>
      </c>
      <c r="D517">
        <v>134</v>
      </c>
      <c r="E517" s="16" t="s">
        <v>6</v>
      </c>
      <c r="F517" s="17">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t="str">
        <f>_xlfn.XLOOKUP(calls[[#This Row],[Customer ID]],customers[Customer ID],customers[City])</f>
        <v>Cleveland</v>
      </c>
      <c r="N517">
        <f>_xlfn.XLOOKUP(calls[[#This Row],[Customer ID]],customers[Customer ID],customers[Age])</f>
        <v>30</v>
      </c>
      <c r="O517" t="str">
        <f>_xlfn.XLOOKUP(calls[[#This Row],[Customer ID]],customers[Customer ID],customers[Gender])</f>
        <v>Female</v>
      </c>
    </row>
    <row r="518" spans="2:15" x14ac:dyDescent="0.55000000000000004">
      <c r="B518" t="s">
        <v>540</v>
      </c>
      <c r="C518" t="s">
        <v>19</v>
      </c>
      <c r="D518">
        <v>94</v>
      </c>
      <c r="E518" s="16" t="s">
        <v>9</v>
      </c>
      <c r="F518" s="17">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t="str">
        <f>_xlfn.XLOOKUP(calls[[#This Row],[Customer ID]],customers[Customer ID],customers[City])</f>
        <v>Cleveland</v>
      </c>
      <c r="N518">
        <f>_xlfn.XLOOKUP(calls[[#This Row],[Customer ID]],customers[Customer ID],customers[Age])</f>
        <v>43</v>
      </c>
      <c r="O518" t="str">
        <f>_xlfn.XLOOKUP(calls[[#This Row],[Customer ID]],customers[Customer ID],customers[Gender])</f>
        <v>Female</v>
      </c>
    </row>
    <row r="519" spans="2:15" x14ac:dyDescent="0.55000000000000004">
      <c r="B519" t="s">
        <v>541</v>
      </c>
      <c r="C519" t="s">
        <v>15</v>
      </c>
      <c r="D519">
        <v>63</v>
      </c>
      <c r="E519" s="16" t="s">
        <v>10</v>
      </c>
      <c r="F519" s="17">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t="str">
        <f>_xlfn.XLOOKUP(calls[[#This Row],[Customer ID]],customers[Customer ID],customers[City])</f>
        <v>Cleveland</v>
      </c>
      <c r="N519">
        <f>_xlfn.XLOOKUP(calls[[#This Row],[Customer ID]],customers[Customer ID],customers[Age])</f>
        <v>22</v>
      </c>
      <c r="O519" t="str">
        <f>_xlfn.XLOOKUP(calls[[#This Row],[Customer ID]],customers[Customer ID],customers[Gender])</f>
        <v>Female</v>
      </c>
    </row>
    <row r="520" spans="2:15" x14ac:dyDescent="0.55000000000000004">
      <c r="B520" t="s">
        <v>542</v>
      </c>
      <c r="C520" t="s">
        <v>7</v>
      </c>
      <c r="D520">
        <v>95</v>
      </c>
      <c r="E520" s="16" t="s">
        <v>6</v>
      </c>
      <c r="F520" s="17">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t="str">
        <f>_xlfn.XLOOKUP(calls[[#This Row],[Customer ID]],customers[Customer ID],customers[City])</f>
        <v>Columbus</v>
      </c>
      <c r="N520">
        <f>_xlfn.XLOOKUP(calls[[#This Row],[Customer ID]],customers[Customer ID],customers[Age])</f>
        <v>23</v>
      </c>
      <c r="O520" t="str">
        <f>_xlfn.XLOOKUP(calls[[#This Row],[Customer ID]],customers[Customer ID],customers[Gender])</f>
        <v>Male</v>
      </c>
    </row>
    <row r="521" spans="2:15" x14ac:dyDescent="0.55000000000000004">
      <c r="B521" t="s">
        <v>543</v>
      </c>
      <c r="C521" t="s">
        <v>18</v>
      </c>
      <c r="D521">
        <v>106</v>
      </c>
      <c r="E521" s="16" t="s">
        <v>6</v>
      </c>
      <c r="F521" s="17">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t="str">
        <f>_xlfn.XLOOKUP(calls[[#This Row],[Customer ID]],customers[Customer ID],customers[City])</f>
        <v>Cleveland</v>
      </c>
      <c r="N521">
        <f>_xlfn.XLOOKUP(calls[[#This Row],[Customer ID]],customers[Customer ID],customers[Age])</f>
        <v>30</v>
      </c>
      <c r="O521" t="str">
        <f>_xlfn.XLOOKUP(calls[[#This Row],[Customer ID]],customers[Customer ID],customers[Gender])</f>
        <v>Female</v>
      </c>
    </row>
    <row r="522" spans="2:15" x14ac:dyDescent="0.55000000000000004">
      <c r="B522" t="s">
        <v>544</v>
      </c>
      <c r="C522" t="s">
        <v>21</v>
      </c>
      <c r="D522">
        <v>94</v>
      </c>
      <c r="E522" s="16" t="s">
        <v>9</v>
      </c>
      <c r="F522" s="17">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t="str">
        <f>_xlfn.XLOOKUP(calls[[#This Row],[Customer ID]],customers[Customer ID],customers[City])</f>
        <v>Columbus</v>
      </c>
      <c r="N522">
        <f>_xlfn.XLOOKUP(calls[[#This Row],[Customer ID]],customers[Customer ID],customers[Age])</f>
        <v>38</v>
      </c>
      <c r="O522" t="str">
        <f>_xlfn.XLOOKUP(calls[[#This Row],[Customer ID]],customers[Customer ID],customers[Gender])</f>
        <v>Female</v>
      </c>
    </row>
    <row r="523" spans="2:15" x14ac:dyDescent="0.55000000000000004">
      <c r="B523" t="s">
        <v>545</v>
      </c>
      <c r="C523" t="s">
        <v>21</v>
      </c>
      <c r="D523">
        <v>51</v>
      </c>
      <c r="E523" s="16" t="s">
        <v>9</v>
      </c>
      <c r="F523" s="17">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t="str">
        <f>_xlfn.XLOOKUP(calls[[#This Row],[Customer ID]],customers[Customer ID],customers[City])</f>
        <v>Columbus</v>
      </c>
      <c r="N523">
        <f>_xlfn.XLOOKUP(calls[[#This Row],[Customer ID]],customers[Customer ID],customers[Age])</f>
        <v>38</v>
      </c>
      <c r="O523" t="str">
        <f>_xlfn.XLOOKUP(calls[[#This Row],[Customer ID]],customers[Customer ID],customers[Gender])</f>
        <v>Female</v>
      </c>
    </row>
    <row r="524" spans="2:15" x14ac:dyDescent="0.55000000000000004">
      <c r="B524" t="s">
        <v>546</v>
      </c>
      <c r="C524" t="s">
        <v>5</v>
      </c>
      <c r="D524">
        <v>39</v>
      </c>
      <c r="E524" s="16" t="s">
        <v>9</v>
      </c>
      <c r="F524" s="17">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t="str">
        <f>_xlfn.XLOOKUP(calls[[#This Row],[Customer ID]],customers[Customer ID],customers[City])</f>
        <v>Cleveland</v>
      </c>
      <c r="N524">
        <f>_xlfn.XLOOKUP(calls[[#This Row],[Customer ID]],customers[Customer ID],customers[Age])</f>
        <v>42</v>
      </c>
      <c r="O524" t="str">
        <f>_xlfn.XLOOKUP(calls[[#This Row],[Customer ID]],customers[Customer ID],customers[Gender])</f>
        <v>Female</v>
      </c>
    </row>
    <row r="525" spans="2:15" x14ac:dyDescent="0.55000000000000004">
      <c r="B525" t="s">
        <v>547</v>
      </c>
      <c r="C525" t="s">
        <v>14</v>
      </c>
      <c r="D525">
        <v>111</v>
      </c>
      <c r="E525" s="16" t="s">
        <v>6</v>
      </c>
      <c r="F525" s="17">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t="str">
        <f>_xlfn.XLOOKUP(calls[[#This Row],[Customer ID]],customers[Customer ID],customers[City])</f>
        <v>Cleveland</v>
      </c>
      <c r="N525">
        <f>_xlfn.XLOOKUP(calls[[#This Row],[Customer ID]],customers[Customer ID],customers[Age])</f>
        <v>37</v>
      </c>
      <c r="O525" t="str">
        <f>_xlfn.XLOOKUP(calls[[#This Row],[Customer ID]],customers[Customer ID],customers[Gender])</f>
        <v>Female</v>
      </c>
    </row>
    <row r="526" spans="2:15" x14ac:dyDescent="0.55000000000000004">
      <c r="B526" t="s">
        <v>548</v>
      </c>
      <c r="C526" t="s">
        <v>16</v>
      </c>
      <c r="D526">
        <v>141</v>
      </c>
      <c r="E526" s="16" t="s">
        <v>11</v>
      </c>
      <c r="F526" s="17">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t="str">
        <f>_xlfn.XLOOKUP(calls[[#This Row],[Customer ID]],customers[Customer ID],customers[City])</f>
        <v>Cincinnati</v>
      </c>
      <c r="N526">
        <f>_xlfn.XLOOKUP(calls[[#This Row],[Customer ID]],customers[Customer ID],customers[Age])</f>
        <v>28</v>
      </c>
      <c r="O526" t="str">
        <f>_xlfn.XLOOKUP(calls[[#This Row],[Customer ID]],customers[Customer ID],customers[Gender])</f>
        <v>Female</v>
      </c>
    </row>
    <row r="527" spans="2:15" x14ac:dyDescent="0.55000000000000004">
      <c r="B527" t="s">
        <v>549</v>
      </c>
      <c r="C527" t="s">
        <v>15</v>
      </c>
      <c r="D527">
        <v>147</v>
      </c>
      <c r="E527" s="16" t="s">
        <v>6</v>
      </c>
      <c r="F527" s="17">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t="str">
        <f>_xlfn.XLOOKUP(calls[[#This Row],[Customer ID]],customers[Customer ID],customers[City])</f>
        <v>Cleveland</v>
      </c>
      <c r="N527">
        <f>_xlfn.XLOOKUP(calls[[#This Row],[Customer ID]],customers[Customer ID],customers[Age])</f>
        <v>22</v>
      </c>
      <c r="O527" t="str">
        <f>_xlfn.XLOOKUP(calls[[#This Row],[Customer ID]],customers[Customer ID],customers[Gender])</f>
        <v>Female</v>
      </c>
    </row>
    <row r="528" spans="2:15" x14ac:dyDescent="0.55000000000000004">
      <c r="B528" t="s">
        <v>550</v>
      </c>
      <c r="C528" t="s">
        <v>19</v>
      </c>
      <c r="D528">
        <v>49</v>
      </c>
      <c r="E528" s="16" t="s">
        <v>9</v>
      </c>
      <c r="F528" s="17">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t="str">
        <f>_xlfn.XLOOKUP(calls[[#This Row],[Customer ID]],customers[Customer ID],customers[City])</f>
        <v>Cleveland</v>
      </c>
      <c r="N528">
        <f>_xlfn.XLOOKUP(calls[[#This Row],[Customer ID]],customers[Customer ID],customers[Age])</f>
        <v>43</v>
      </c>
      <c r="O528" t="str">
        <f>_xlfn.XLOOKUP(calls[[#This Row],[Customer ID]],customers[Customer ID],customers[Gender])</f>
        <v>Female</v>
      </c>
    </row>
    <row r="529" spans="2:15" x14ac:dyDescent="0.55000000000000004">
      <c r="B529" t="s">
        <v>551</v>
      </c>
      <c r="C529" t="s">
        <v>23</v>
      </c>
      <c r="D529">
        <v>75</v>
      </c>
      <c r="E529" s="16" t="s">
        <v>6</v>
      </c>
      <c r="F529" s="17">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t="str">
        <f>_xlfn.XLOOKUP(calls[[#This Row],[Customer ID]],customers[Customer ID],customers[City])</f>
        <v>Columbus</v>
      </c>
      <c r="N529">
        <f>_xlfn.XLOOKUP(calls[[#This Row],[Customer ID]],customers[Customer ID],customers[Age])</f>
        <v>37</v>
      </c>
      <c r="O529" t="str">
        <f>_xlfn.XLOOKUP(calls[[#This Row],[Customer ID]],customers[Customer ID],customers[Gender])</f>
        <v>Male</v>
      </c>
    </row>
    <row r="530" spans="2:15" x14ac:dyDescent="0.55000000000000004">
      <c r="B530" t="s">
        <v>552</v>
      </c>
      <c r="C530" t="s">
        <v>16</v>
      </c>
      <c r="D530">
        <v>48</v>
      </c>
      <c r="E530" s="16" t="s">
        <v>11</v>
      </c>
      <c r="F530" s="17">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t="str">
        <f>_xlfn.XLOOKUP(calls[[#This Row],[Customer ID]],customers[Customer ID],customers[City])</f>
        <v>Cincinnati</v>
      </c>
      <c r="N530">
        <f>_xlfn.XLOOKUP(calls[[#This Row],[Customer ID]],customers[Customer ID],customers[Age])</f>
        <v>28</v>
      </c>
      <c r="O530" t="str">
        <f>_xlfn.XLOOKUP(calls[[#This Row],[Customer ID]],customers[Customer ID],customers[Gender])</f>
        <v>Female</v>
      </c>
    </row>
    <row r="531" spans="2:15" x14ac:dyDescent="0.55000000000000004">
      <c r="B531" t="s">
        <v>553</v>
      </c>
      <c r="C531" t="s">
        <v>22</v>
      </c>
      <c r="D531">
        <v>48</v>
      </c>
      <c r="E531" s="16" t="s">
        <v>11</v>
      </c>
      <c r="F531" s="17">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t="str">
        <f>_xlfn.XLOOKUP(calls[[#This Row],[Customer ID]],customers[Customer ID],customers[City])</f>
        <v>Columbus</v>
      </c>
      <c r="N531">
        <f>_xlfn.XLOOKUP(calls[[#This Row],[Customer ID]],customers[Customer ID],customers[Age])</f>
        <v>25</v>
      </c>
      <c r="O531" t="str">
        <f>_xlfn.XLOOKUP(calls[[#This Row],[Customer ID]],customers[Customer ID],customers[Gender])</f>
        <v>Female</v>
      </c>
    </row>
    <row r="532" spans="2:15" x14ac:dyDescent="0.55000000000000004">
      <c r="B532" t="s">
        <v>554</v>
      </c>
      <c r="C532" t="s">
        <v>12</v>
      </c>
      <c r="D532">
        <v>138</v>
      </c>
      <c r="E532" s="16" t="s">
        <v>9</v>
      </c>
      <c r="F532" s="17">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t="str">
        <f>_xlfn.XLOOKUP(calls[[#This Row],[Customer ID]],customers[Customer ID],customers[City])</f>
        <v>Cincinnati</v>
      </c>
      <c r="N532">
        <f>_xlfn.XLOOKUP(calls[[#This Row],[Customer ID]],customers[Customer ID],customers[Age])</f>
        <v>36</v>
      </c>
      <c r="O532" t="str">
        <f>_xlfn.XLOOKUP(calls[[#This Row],[Customer ID]],customers[Customer ID],customers[Gender])</f>
        <v>Male</v>
      </c>
    </row>
    <row r="533" spans="2:15" x14ac:dyDescent="0.55000000000000004">
      <c r="B533" t="s">
        <v>555</v>
      </c>
      <c r="C533" t="s">
        <v>7</v>
      </c>
      <c r="D533">
        <v>144</v>
      </c>
      <c r="E533" s="16" t="s">
        <v>9</v>
      </c>
      <c r="F533" s="17">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t="str">
        <f>_xlfn.XLOOKUP(calls[[#This Row],[Customer ID]],customers[Customer ID],customers[City])</f>
        <v>Columbus</v>
      </c>
      <c r="N533">
        <f>_xlfn.XLOOKUP(calls[[#This Row],[Customer ID]],customers[Customer ID],customers[Age])</f>
        <v>23</v>
      </c>
      <c r="O533" t="str">
        <f>_xlfn.XLOOKUP(calls[[#This Row],[Customer ID]],customers[Customer ID],customers[Gender])</f>
        <v>Male</v>
      </c>
    </row>
    <row r="534" spans="2:15" x14ac:dyDescent="0.55000000000000004">
      <c r="B534" t="s">
        <v>556</v>
      </c>
      <c r="C534" t="s">
        <v>17</v>
      </c>
      <c r="D534">
        <v>119</v>
      </c>
      <c r="E534" s="16" t="s">
        <v>6</v>
      </c>
      <c r="F534" s="17">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t="str">
        <f>_xlfn.XLOOKUP(calls[[#This Row],[Customer ID]],customers[Customer ID],customers[City])</f>
        <v>Columbus</v>
      </c>
      <c r="N534">
        <f>_xlfn.XLOOKUP(calls[[#This Row],[Customer ID]],customers[Customer ID],customers[Age])</f>
        <v>41</v>
      </c>
      <c r="O534" t="str">
        <f>_xlfn.XLOOKUP(calls[[#This Row],[Customer ID]],customers[Customer ID],customers[Gender])</f>
        <v>Male</v>
      </c>
    </row>
    <row r="535" spans="2:15" x14ac:dyDescent="0.55000000000000004">
      <c r="B535" t="s">
        <v>557</v>
      </c>
      <c r="C535" t="s">
        <v>12</v>
      </c>
      <c r="D535">
        <v>101</v>
      </c>
      <c r="E535" s="16" t="s">
        <v>11</v>
      </c>
      <c r="F535" s="17">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t="str">
        <f>_xlfn.XLOOKUP(calls[[#This Row],[Customer ID]],customers[Customer ID],customers[City])</f>
        <v>Cincinnati</v>
      </c>
      <c r="N535">
        <f>_xlfn.XLOOKUP(calls[[#This Row],[Customer ID]],customers[Customer ID],customers[Age])</f>
        <v>36</v>
      </c>
      <c r="O535" t="str">
        <f>_xlfn.XLOOKUP(calls[[#This Row],[Customer ID]],customers[Customer ID],customers[Gender])</f>
        <v>Male</v>
      </c>
    </row>
    <row r="536" spans="2:15" x14ac:dyDescent="0.55000000000000004">
      <c r="B536" t="s">
        <v>558</v>
      </c>
      <c r="C536" t="s">
        <v>7</v>
      </c>
      <c r="D536">
        <v>59</v>
      </c>
      <c r="E536" s="16" t="s">
        <v>6</v>
      </c>
      <c r="F536" s="17">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t="str">
        <f>_xlfn.XLOOKUP(calls[[#This Row],[Customer ID]],customers[Customer ID],customers[City])</f>
        <v>Columbus</v>
      </c>
      <c r="N536">
        <f>_xlfn.XLOOKUP(calls[[#This Row],[Customer ID]],customers[Customer ID],customers[Age])</f>
        <v>23</v>
      </c>
      <c r="O536" t="str">
        <f>_xlfn.XLOOKUP(calls[[#This Row],[Customer ID]],customers[Customer ID],customers[Gender])</f>
        <v>Male</v>
      </c>
    </row>
    <row r="537" spans="2:15" x14ac:dyDescent="0.55000000000000004">
      <c r="B537" t="s">
        <v>559</v>
      </c>
      <c r="C537" t="s">
        <v>14</v>
      </c>
      <c r="D537">
        <v>125</v>
      </c>
      <c r="E537" s="16" t="s">
        <v>10</v>
      </c>
      <c r="F537" s="17">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t="str">
        <f>_xlfn.XLOOKUP(calls[[#This Row],[Customer ID]],customers[Customer ID],customers[City])</f>
        <v>Cleveland</v>
      </c>
      <c r="N537">
        <f>_xlfn.XLOOKUP(calls[[#This Row],[Customer ID]],customers[Customer ID],customers[Age])</f>
        <v>37</v>
      </c>
      <c r="O537" t="str">
        <f>_xlfn.XLOOKUP(calls[[#This Row],[Customer ID]],customers[Customer ID],customers[Gender])</f>
        <v>Female</v>
      </c>
    </row>
    <row r="538" spans="2:15" x14ac:dyDescent="0.55000000000000004">
      <c r="B538" t="s">
        <v>560</v>
      </c>
      <c r="C538" t="s">
        <v>18</v>
      </c>
      <c r="D538">
        <v>147</v>
      </c>
      <c r="E538" s="16" t="s">
        <v>6</v>
      </c>
      <c r="F538" s="17">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t="str">
        <f>_xlfn.XLOOKUP(calls[[#This Row],[Customer ID]],customers[Customer ID],customers[City])</f>
        <v>Cleveland</v>
      </c>
      <c r="N538">
        <f>_xlfn.XLOOKUP(calls[[#This Row],[Customer ID]],customers[Customer ID],customers[Age])</f>
        <v>30</v>
      </c>
      <c r="O538" t="str">
        <f>_xlfn.XLOOKUP(calls[[#This Row],[Customer ID]],customers[Customer ID],customers[Gender])</f>
        <v>Female</v>
      </c>
    </row>
    <row r="539" spans="2:15" x14ac:dyDescent="0.55000000000000004">
      <c r="B539" t="s">
        <v>561</v>
      </c>
      <c r="C539" t="s">
        <v>24</v>
      </c>
      <c r="D539">
        <v>76</v>
      </c>
      <c r="E539" s="16" t="s">
        <v>6</v>
      </c>
      <c r="F539" s="17">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t="str">
        <f>_xlfn.XLOOKUP(calls[[#This Row],[Customer ID]],customers[Customer ID],customers[City])</f>
        <v>Cleveland</v>
      </c>
      <c r="N539">
        <f>_xlfn.XLOOKUP(calls[[#This Row],[Customer ID]],customers[Customer ID],customers[Age])</f>
        <v>31</v>
      </c>
      <c r="O539" t="str">
        <f>_xlfn.XLOOKUP(calls[[#This Row],[Customer ID]],customers[Customer ID],customers[Gender])</f>
        <v>Male</v>
      </c>
    </row>
    <row r="540" spans="2:15" x14ac:dyDescent="0.55000000000000004">
      <c r="B540" t="s">
        <v>562</v>
      </c>
      <c r="C540" t="s">
        <v>15</v>
      </c>
      <c r="D540">
        <v>99</v>
      </c>
      <c r="E540" s="16" t="s">
        <v>11</v>
      </c>
      <c r="F540" s="17">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t="str">
        <f>_xlfn.XLOOKUP(calls[[#This Row],[Customer ID]],customers[Customer ID],customers[City])</f>
        <v>Cleveland</v>
      </c>
      <c r="N540">
        <f>_xlfn.XLOOKUP(calls[[#This Row],[Customer ID]],customers[Customer ID],customers[Age])</f>
        <v>22</v>
      </c>
      <c r="O540" t="str">
        <f>_xlfn.XLOOKUP(calls[[#This Row],[Customer ID]],customers[Customer ID],customers[Gender])</f>
        <v>Female</v>
      </c>
    </row>
    <row r="541" spans="2:15" x14ac:dyDescent="0.55000000000000004">
      <c r="B541" t="s">
        <v>563</v>
      </c>
      <c r="C541" t="s">
        <v>5</v>
      </c>
      <c r="D541">
        <v>111</v>
      </c>
      <c r="E541" s="16" t="s">
        <v>13</v>
      </c>
      <c r="F541" s="17">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t="str">
        <f>_xlfn.XLOOKUP(calls[[#This Row],[Customer ID]],customers[Customer ID],customers[City])</f>
        <v>Cleveland</v>
      </c>
      <c r="N541">
        <f>_xlfn.XLOOKUP(calls[[#This Row],[Customer ID]],customers[Customer ID],customers[Age])</f>
        <v>42</v>
      </c>
      <c r="O541" t="str">
        <f>_xlfn.XLOOKUP(calls[[#This Row],[Customer ID]],customers[Customer ID],customers[Gender])</f>
        <v>Female</v>
      </c>
    </row>
    <row r="542" spans="2:15" x14ac:dyDescent="0.55000000000000004">
      <c r="B542" t="s">
        <v>564</v>
      </c>
      <c r="C542" t="s">
        <v>8</v>
      </c>
      <c r="D542">
        <v>147</v>
      </c>
      <c r="E542" s="16" t="s">
        <v>10</v>
      </c>
      <c r="F542" s="17">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t="str">
        <f>_xlfn.XLOOKUP(calls[[#This Row],[Customer ID]],customers[Customer ID],customers[City])</f>
        <v>Cincinnati</v>
      </c>
      <c r="N542">
        <f>_xlfn.XLOOKUP(calls[[#This Row],[Customer ID]],customers[Customer ID],customers[Age])</f>
        <v>30</v>
      </c>
      <c r="O542" t="str">
        <f>_xlfn.XLOOKUP(calls[[#This Row],[Customer ID]],customers[Customer ID],customers[Gender])</f>
        <v>Female</v>
      </c>
    </row>
    <row r="543" spans="2:15" x14ac:dyDescent="0.55000000000000004">
      <c r="B543" t="s">
        <v>565</v>
      </c>
      <c r="C543" t="s">
        <v>20</v>
      </c>
      <c r="D543">
        <v>141</v>
      </c>
      <c r="E543" s="16" t="s">
        <v>11</v>
      </c>
      <c r="F543" s="17">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t="str">
        <f>_xlfn.XLOOKUP(calls[[#This Row],[Customer ID]],customers[Customer ID],customers[City])</f>
        <v>Cincinnati</v>
      </c>
      <c r="N543">
        <f>_xlfn.XLOOKUP(calls[[#This Row],[Customer ID]],customers[Customer ID],customers[Age])</f>
        <v>26</v>
      </c>
      <c r="O543" t="str">
        <f>_xlfn.XLOOKUP(calls[[#This Row],[Customer ID]],customers[Customer ID],customers[Gender])</f>
        <v>Male</v>
      </c>
    </row>
    <row r="544" spans="2:15" x14ac:dyDescent="0.55000000000000004">
      <c r="B544" t="s">
        <v>566</v>
      </c>
      <c r="C544" t="s">
        <v>24</v>
      </c>
      <c r="D544">
        <v>71</v>
      </c>
      <c r="E544" s="16" t="s">
        <v>6</v>
      </c>
      <c r="F544" s="17">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t="str">
        <f>_xlfn.XLOOKUP(calls[[#This Row],[Customer ID]],customers[Customer ID],customers[City])</f>
        <v>Cleveland</v>
      </c>
      <c r="N544">
        <f>_xlfn.XLOOKUP(calls[[#This Row],[Customer ID]],customers[Customer ID],customers[Age])</f>
        <v>31</v>
      </c>
      <c r="O544" t="str">
        <f>_xlfn.XLOOKUP(calls[[#This Row],[Customer ID]],customers[Customer ID],customers[Gender])</f>
        <v>Male</v>
      </c>
    </row>
    <row r="545" spans="2:15" x14ac:dyDescent="0.55000000000000004">
      <c r="B545" t="s">
        <v>567</v>
      </c>
      <c r="C545" t="s">
        <v>24</v>
      </c>
      <c r="D545">
        <v>121</v>
      </c>
      <c r="E545" s="16" t="s">
        <v>10</v>
      </c>
      <c r="F545" s="17">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t="str">
        <f>_xlfn.XLOOKUP(calls[[#This Row],[Customer ID]],customers[Customer ID],customers[City])</f>
        <v>Cleveland</v>
      </c>
      <c r="N545">
        <f>_xlfn.XLOOKUP(calls[[#This Row],[Customer ID]],customers[Customer ID],customers[Age])</f>
        <v>31</v>
      </c>
      <c r="O545" t="str">
        <f>_xlfn.XLOOKUP(calls[[#This Row],[Customer ID]],customers[Customer ID],customers[Gender])</f>
        <v>Male</v>
      </c>
    </row>
    <row r="546" spans="2:15" x14ac:dyDescent="0.55000000000000004">
      <c r="B546" t="s">
        <v>568</v>
      </c>
      <c r="C546" t="s">
        <v>24</v>
      </c>
      <c r="D546">
        <v>60</v>
      </c>
      <c r="E546" s="16" t="s">
        <v>10</v>
      </c>
      <c r="F546" s="17">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t="str">
        <f>_xlfn.XLOOKUP(calls[[#This Row],[Customer ID]],customers[Customer ID],customers[City])</f>
        <v>Cleveland</v>
      </c>
      <c r="N546">
        <f>_xlfn.XLOOKUP(calls[[#This Row],[Customer ID]],customers[Customer ID],customers[Age])</f>
        <v>31</v>
      </c>
      <c r="O546" t="str">
        <f>_xlfn.XLOOKUP(calls[[#This Row],[Customer ID]],customers[Customer ID],customers[Gender])</f>
        <v>Male</v>
      </c>
    </row>
    <row r="547" spans="2:15" x14ac:dyDescent="0.55000000000000004">
      <c r="B547" t="s">
        <v>569</v>
      </c>
      <c r="C547" t="s">
        <v>19</v>
      </c>
      <c r="D547">
        <v>158</v>
      </c>
      <c r="E547" s="16" t="s">
        <v>11</v>
      </c>
      <c r="F547" s="17">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t="str">
        <f>_xlfn.XLOOKUP(calls[[#This Row],[Customer ID]],customers[Customer ID],customers[City])</f>
        <v>Cleveland</v>
      </c>
      <c r="N547">
        <f>_xlfn.XLOOKUP(calls[[#This Row],[Customer ID]],customers[Customer ID],customers[Age])</f>
        <v>43</v>
      </c>
      <c r="O547" t="str">
        <f>_xlfn.XLOOKUP(calls[[#This Row],[Customer ID]],customers[Customer ID],customers[Gender])</f>
        <v>Female</v>
      </c>
    </row>
    <row r="548" spans="2:15" x14ac:dyDescent="0.55000000000000004">
      <c r="B548" t="s">
        <v>570</v>
      </c>
      <c r="C548" t="s">
        <v>18</v>
      </c>
      <c r="D548">
        <v>159</v>
      </c>
      <c r="E548" s="16" t="s">
        <v>9</v>
      </c>
      <c r="F548" s="17">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t="str">
        <f>_xlfn.XLOOKUP(calls[[#This Row],[Customer ID]],customers[Customer ID],customers[City])</f>
        <v>Cleveland</v>
      </c>
      <c r="N548">
        <f>_xlfn.XLOOKUP(calls[[#This Row],[Customer ID]],customers[Customer ID],customers[Age])</f>
        <v>30</v>
      </c>
      <c r="O548" t="str">
        <f>_xlfn.XLOOKUP(calls[[#This Row],[Customer ID]],customers[Customer ID],customers[Gender])</f>
        <v>Female</v>
      </c>
    </row>
    <row r="549" spans="2:15" x14ac:dyDescent="0.55000000000000004">
      <c r="B549" t="s">
        <v>571</v>
      </c>
      <c r="C549" t="s">
        <v>12</v>
      </c>
      <c r="D549">
        <v>70</v>
      </c>
      <c r="E549" s="16" t="s">
        <v>6</v>
      </c>
      <c r="F549" s="17">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t="str">
        <f>_xlfn.XLOOKUP(calls[[#This Row],[Customer ID]],customers[Customer ID],customers[City])</f>
        <v>Cincinnati</v>
      </c>
      <c r="N549">
        <f>_xlfn.XLOOKUP(calls[[#This Row],[Customer ID]],customers[Customer ID],customers[Age])</f>
        <v>36</v>
      </c>
      <c r="O549" t="str">
        <f>_xlfn.XLOOKUP(calls[[#This Row],[Customer ID]],customers[Customer ID],customers[Gender])</f>
        <v>Male</v>
      </c>
    </row>
    <row r="550" spans="2:15" x14ac:dyDescent="0.55000000000000004">
      <c r="B550" t="s">
        <v>572</v>
      </c>
      <c r="C550" t="s">
        <v>16</v>
      </c>
      <c r="D550">
        <v>78</v>
      </c>
      <c r="E550" s="16" t="s">
        <v>13</v>
      </c>
      <c r="F550" s="17">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t="str">
        <f>_xlfn.XLOOKUP(calls[[#This Row],[Customer ID]],customers[Customer ID],customers[City])</f>
        <v>Cincinnati</v>
      </c>
      <c r="N550">
        <f>_xlfn.XLOOKUP(calls[[#This Row],[Customer ID]],customers[Customer ID],customers[Age])</f>
        <v>28</v>
      </c>
      <c r="O550" t="str">
        <f>_xlfn.XLOOKUP(calls[[#This Row],[Customer ID]],customers[Customer ID],customers[Gender])</f>
        <v>Female</v>
      </c>
    </row>
    <row r="551" spans="2:15" x14ac:dyDescent="0.55000000000000004">
      <c r="B551" t="s">
        <v>573</v>
      </c>
      <c r="C551" t="s">
        <v>8</v>
      </c>
      <c r="D551">
        <v>103</v>
      </c>
      <c r="E551" s="16" t="s">
        <v>6</v>
      </c>
      <c r="F551" s="17">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t="str">
        <f>_xlfn.XLOOKUP(calls[[#This Row],[Customer ID]],customers[Customer ID],customers[City])</f>
        <v>Cincinnati</v>
      </c>
      <c r="N551">
        <f>_xlfn.XLOOKUP(calls[[#This Row],[Customer ID]],customers[Customer ID],customers[Age])</f>
        <v>30</v>
      </c>
      <c r="O551" t="str">
        <f>_xlfn.XLOOKUP(calls[[#This Row],[Customer ID]],customers[Customer ID],customers[Gender])</f>
        <v>Female</v>
      </c>
    </row>
    <row r="552" spans="2:15" x14ac:dyDescent="0.55000000000000004">
      <c r="B552" t="s">
        <v>574</v>
      </c>
      <c r="C552" t="s">
        <v>23</v>
      </c>
      <c r="D552">
        <v>108</v>
      </c>
      <c r="E552" s="16" t="s">
        <v>11</v>
      </c>
      <c r="F552" s="17">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t="str">
        <f>_xlfn.XLOOKUP(calls[[#This Row],[Customer ID]],customers[Customer ID],customers[City])</f>
        <v>Columbus</v>
      </c>
      <c r="N552">
        <f>_xlfn.XLOOKUP(calls[[#This Row],[Customer ID]],customers[Customer ID],customers[Age])</f>
        <v>37</v>
      </c>
      <c r="O552" t="str">
        <f>_xlfn.XLOOKUP(calls[[#This Row],[Customer ID]],customers[Customer ID],customers[Gender])</f>
        <v>Male</v>
      </c>
    </row>
    <row r="553" spans="2:15" x14ac:dyDescent="0.55000000000000004">
      <c r="B553" t="s">
        <v>575</v>
      </c>
      <c r="C553" t="s">
        <v>23</v>
      </c>
      <c r="D553">
        <v>44</v>
      </c>
      <c r="E553" s="16" t="s">
        <v>10</v>
      </c>
      <c r="F553" s="17">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t="str">
        <f>_xlfn.XLOOKUP(calls[[#This Row],[Customer ID]],customers[Customer ID],customers[City])</f>
        <v>Columbus</v>
      </c>
      <c r="N553">
        <f>_xlfn.XLOOKUP(calls[[#This Row],[Customer ID]],customers[Customer ID],customers[Age])</f>
        <v>37</v>
      </c>
      <c r="O553" t="str">
        <f>_xlfn.XLOOKUP(calls[[#This Row],[Customer ID]],customers[Customer ID],customers[Gender])</f>
        <v>Male</v>
      </c>
    </row>
    <row r="554" spans="2:15" x14ac:dyDescent="0.55000000000000004">
      <c r="B554" t="s">
        <v>576</v>
      </c>
      <c r="C554" t="s">
        <v>16</v>
      </c>
      <c r="D554">
        <v>127</v>
      </c>
      <c r="E554" s="16" t="s">
        <v>11</v>
      </c>
      <c r="F554" s="17">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t="str">
        <f>_xlfn.XLOOKUP(calls[[#This Row],[Customer ID]],customers[Customer ID],customers[City])</f>
        <v>Cincinnati</v>
      </c>
      <c r="N554">
        <f>_xlfn.XLOOKUP(calls[[#This Row],[Customer ID]],customers[Customer ID],customers[Age])</f>
        <v>28</v>
      </c>
      <c r="O554" t="str">
        <f>_xlfn.XLOOKUP(calls[[#This Row],[Customer ID]],customers[Customer ID],customers[Gender])</f>
        <v>Female</v>
      </c>
    </row>
    <row r="555" spans="2:15" x14ac:dyDescent="0.55000000000000004">
      <c r="B555" t="s">
        <v>577</v>
      </c>
      <c r="C555" t="s">
        <v>8</v>
      </c>
      <c r="D555">
        <v>132</v>
      </c>
      <c r="E555" s="16" t="s">
        <v>6</v>
      </c>
      <c r="F555" s="17">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t="str">
        <f>_xlfn.XLOOKUP(calls[[#This Row],[Customer ID]],customers[Customer ID],customers[City])</f>
        <v>Cincinnati</v>
      </c>
      <c r="N555">
        <f>_xlfn.XLOOKUP(calls[[#This Row],[Customer ID]],customers[Customer ID],customers[Age])</f>
        <v>30</v>
      </c>
      <c r="O555" t="str">
        <f>_xlfn.XLOOKUP(calls[[#This Row],[Customer ID]],customers[Customer ID],customers[Gender])</f>
        <v>Female</v>
      </c>
    </row>
    <row r="556" spans="2:15" x14ac:dyDescent="0.55000000000000004">
      <c r="B556" t="s">
        <v>578</v>
      </c>
      <c r="C556" t="s">
        <v>20</v>
      </c>
      <c r="D556">
        <v>106</v>
      </c>
      <c r="E556" s="16" t="s">
        <v>13</v>
      </c>
      <c r="F556" s="17">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t="str">
        <f>_xlfn.XLOOKUP(calls[[#This Row],[Customer ID]],customers[Customer ID],customers[City])</f>
        <v>Cincinnati</v>
      </c>
      <c r="N556">
        <f>_xlfn.XLOOKUP(calls[[#This Row],[Customer ID]],customers[Customer ID],customers[Age])</f>
        <v>26</v>
      </c>
      <c r="O556" t="str">
        <f>_xlfn.XLOOKUP(calls[[#This Row],[Customer ID]],customers[Customer ID],customers[Gender])</f>
        <v>Male</v>
      </c>
    </row>
    <row r="557" spans="2:15" x14ac:dyDescent="0.55000000000000004">
      <c r="B557" t="s">
        <v>579</v>
      </c>
      <c r="C557" t="s">
        <v>5</v>
      </c>
      <c r="D557">
        <v>107</v>
      </c>
      <c r="E557" s="16" t="s">
        <v>6</v>
      </c>
      <c r="F557" s="17">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t="str">
        <f>_xlfn.XLOOKUP(calls[[#This Row],[Customer ID]],customers[Customer ID],customers[City])</f>
        <v>Cleveland</v>
      </c>
      <c r="N557">
        <f>_xlfn.XLOOKUP(calls[[#This Row],[Customer ID]],customers[Customer ID],customers[Age])</f>
        <v>42</v>
      </c>
      <c r="O557" t="str">
        <f>_xlfn.XLOOKUP(calls[[#This Row],[Customer ID]],customers[Customer ID],customers[Gender])</f>
        <v>Female</v>
      </c>
    </row>
    <row r="558" spans="2:15" x14ac:dyDescent="0.55000000000000004">
      <c r="B558" t="s">
        <v>580</v>
      </c>
      <c r="C558" t="s">
        <v>18</v>
      </c>
      <c r="D558">
        <v>85</v>
      </c>
      <c r="E558" s="16" t="s">
        <v>13</v>
      </c>
      <c r="F558" s="17">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t="str">
        <f>_xlfn.XLOOKUP(calls[[#This Row],[Customer ID]],customers[Customer ID],customers[City])</f>
        <v>Cleveland</v>
      </c>
      <c r="N558">
        <f>_xlfn.XLOOKUP(calls[[#This Row],[Customer ID]],customers[Customer ID],customers[Age])</f>
        <v>30</v>
      </c>
      <c r="O558" t="str">
        <f>_xlfn.XLOOKUP(calls[[#This Row],[Customer ID]],customers[Customer ID],customers[Gender])</f>
        <v>Female</v>
      </c>
    </row>
    <row r="559" spans="2:15" x14ac:dyDescent="0.55000000000000004">
      <c r="B559" t="s">
        <v>581</v>
      </c>
      <c r="C559" t="s">
        <v>15</v>
      </c>
      <c r="D559">
        <v>49</v>
      </c>
      <c r="E559" s="16" t="s">
        <v>6</v>
      </c>
      <c r="F559" s="17">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t="str">
        <f>_xlfn.XLOOKUP(calls[[#This Row],[Customer ID]],customers[Customer ID],customers[City])</f>
        <v>Cleveland</v>
      </c>
      <c r="N559">
        <f>_xlfn.XLOOKUP(calls[[#This Row],[Customer ID]],customers[Customer ID],customers[Age])</f>
        <v>22</v>
      </c>
      <c r="O559" t="str">
        <f>_xlfn.XLOOKUP(calls[[#This Row],[Customer ID]],customers[Customer ID],customers[Gender])</f>
        <v>Female</v>
      </c>
    </row>
    <row r="560" spans="2:15" x14ac:dyDescent="0.55000000000000004">
      <c r="B560" t="s">
        <v>582</v>
      </c>
      <c r="C560" t="s">
        <v>24</v>
      </c>
      <c r="D560">
        <v>117</v>
      </c>
      <c r="E560" s="16" t="s">
        <v>11</v>
      </c>
      <c r="F560" s="17">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t="str">
        <f>_xlfn.XLOOKUP(calls[[#This Row],[Customer ID]],customers[Customer ID],customers[City])</f>
        <v>Cleveland</v>
      </c>
      <c r="N560">
        <f>_xlfn.XLOOKUP(calls[[#This Row],[Customer ID]],customers[Customer ID],customers[Age])</f>
        <v>31</v>
      </c>
      <c r="O560" t="str">
        <f>_xlfn.XLOOKUP(calls[[#This Row],[Customer ID]],customers[Customer ID],customers[Gender])</f>
        <v>Male</v>
      </c>
    </row>
    <row r="561" spans="2:15" x14ac:dyDescent="0.55000000000000004">
      <c r="B561" t="s">
        <v>583</v>
      </c>
      <c r="C561" t="s">
        <v>5</v>
      </c>
      <c r="D561">
        <v>136</v>
      </c>
      <c r="E561" s="16" t="s">
        <v>13</v>
      </c>
      <c r="F561" s="17">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t="str">
        <f>_xlfn.XLOOKUP(calls[[#This Row],[Customer ID]],customers[Customer ID],customers[City])</f>
        <v>Cleveland</v>
      </c>
      <c r="N561">
        <f>_xlfn.XLOOKUP(calls[[#This Row],[Customer ID]],customers[Customer ID],customers[Age])</f>
        <v>42</v>
      </c>
      <c r="O561" t="str">
        <f>_xlfn.XLOOKUP(calls[[#This Row],[Customer ID]],customers[Customer ID],customers[Gender])</f>
        <v>Female</v>
      </c>
    </row>
    <row r="562" spans="2:15" x14ac:dyDescent="0.55000000000000004">
      <c r="B562" t="s">
        <v>584</v>
      </c>
      <c r="C562" t="s">
        <v>23</v>
      </c>
      <c r="D562">
        <v>130</v>
      </c>
      <c r="E562" s="16" t="s">
        <v>9</v>
      </c>
      <c r="F562" s="17">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t="str">
        <f>_xlfn.XLOOKUP(calls[[#This Row],[Customer ID]],customers[Customer ID],customers[City])</f>
        <v>Columbus</v>
      </c>
      <c r="N562">
        <f>_xlfn.XLOOKUP(calls[[#This Row],[Customer ID]],customers[Customer ID],customers[Age])</f>
        <v>37</v>
      </c>
      <c r="O562" t="str">
        <f>_xlfn.XLOOKUP(calls[[#This Row],[Customer ID]],customers[Customer ID],customers[Gender])</f>
        <v>Male</v>
      </c>
    </row>
    <row r="563" spans="2:15" x14ac:dyDescent="0.55000000000000004">
      <c r="B563" t="s">
        <v>585</v>
      </c>
      <c r="C563" t="s">
        <v>23</v>
      </c>
      <c r="D563">
        <v>73</v>
      </c>
      <c r="E563" s="16" t="s">
        <v>9</v>
      </c>
      <c r="F563" s="17">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t="str">
        <f>_xlfn.XLOOKUP(calls[[#This Row],[Customer ID]],customers[Customer ID],customers[City])</f>
        <v>Columbus</v>
      </c>
      <c r="N563">
        <f>_xlfn.XLOOKUP(calls[[#This Row],[Customer ID]],customers[Customer ID],customers[Age])</f>
        <v>37</v>
      </c>
      <c r="O563" t="str">
        <f>_xlfn.XLOOKUP(calls[[#This Row],[Customer ID]],customers[Customer ID],customers[Gender])</f>
        <v>Male</v>
      </c>
    </row>
    <row r="564" spans="2:15" x14ac:dyDescent="0.55000000000000004">
      <c r="B564" t="s">
        <v>586</v>
      </c>
      <c r="C564" t="s">
        <v>15</v>
      </c>
      <c r="D564">
        <v>80</v>
      </c>
      <c r="E564" s="16" t="s">
        <v>6</v>
      </c>
      <c r="F564" s="17">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t="str">
        <f>_xlfn.XLOOKUP(calls[[#This Row],[Customer ID]],customers[Customer ID],customers[City])</f>
        <v>Cleveland</v>
      </c>
      <c r="N564">
        <f>_xlfn.XLOOKUP(calls[[#This Row],[Customer ID]],customers[Customer ID],customers[Age])</f>
        <v>22</v>
      </c>
      <c r="O564" t="str">
        <f>_xlfn.XLOOKUP(calls[[#This Row],[Customer ID]],customers[Customer ID],customers[Gender])</f>
        <v>Female</v>
      </c>
    </row>
    <row r="565" spans="2:15" x14ac:dyDescent="0.55000000000000004">
      <c r="B565" t="s">
        <v>587</v>
      </c>
      <c r="C565" t="s">
        <v>17</v>
      </c>
      <c r="D565">
        <v>44</v>
      </c>
      <c r="E565" s="16" t="s">
        <v>11</v>
      </c>
      <c r="F565" s="17">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t="str">
        <f>_xlfn.XLOOKUP(calls[[#This Row],[Customer ID]],customers[Customer ID],customers[City])</f>
        <v>Columbus</v>
      </c>
      <c r="N565">
        <f>_xlfn.XLOOKUP(calls[[#This Row],[Customer ID]],customers[Customer ID],customers[Age])</f>
        <v>41</v>
      </c>
      <c r="O565" t="str">
        <f>_xlfn.XLOOKUP(calls[[#This Row],[Customer ID]],customers[Customer ID],customers[Gender])</f>
        <v>Male</v>
      </c>
    </row>
    <row r="566" spans="2:15" x14ac:dyDescent="0.55000000000000004">
      <c r="B566" t="s">
        <v>588</v>
      </c>
      <c r="C566" t="s">
        <v>17</v>
      </c>
      <c r="D566">
        <v>102</v>
      </c>
      <c r="E566" s="16" t="s">
        <v>10</v>
      </c>
      <c r="F566" s="17">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t="str">
        <f>_xlfn.XLOOKUP(calls[[#This Row],[Customer ID]],customers[Customer ID],customers[City])</f>
        <v>Columbus</v>
      </c>
      <c r="N566">
        <f>_xlfn.XLOOKUP(calls[[#This Row],[Customer ID]],customers[Customer ID],customers[Age])</f>
        <v>41</v>
      </c>
      <c r="O566" t="str">
        <f>_xlfn.XLOOKUP(calls[[#This Row],[Customer ID]],customers[Customer ID],customers[Gender])</f>
        <v>Male</v>
      </c>
    </row>
    <row r="567" spans="2:15" x14ac:dyDescent="0.55000000000000004">
      <c r="B567" t="s">
        <v>589</v>
      </c>
      <c r="C567" t="s">
        <v>19</v>
      </c>
      <c r="D567">
        <v>74</v>
      </c>
      <c r="E567" s="16" t="s">
        <v>10</v>
      </c>
      <c r="F567" s="17">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t="str">
        <f>_xlfn.XLOOKUP(calls[[#This Row],[Customer ID]],customers[Customer ID],customers[City])</f>
        <v>Cleveland</v>
      </c>
      <c r="N567">
        <f>_xlfn.XLOOKUP(calls[[#This Row],[Customer ID]],customers[Customer ID],customers[Age])</f>
        <v>43</v>
      </c>
      <c r="O567" t="str">
        <f>_xlfn.XLOOKUP(calls[[#This Row],[Customer ID]],customers[Customer ID],customers[Gender])</f>
        <v>Female</v>
      </c>
    </row>
    <row r="568" spans="2:15" x14ac:dyDescent="0.55000000000000004">
      <c r="B568" t="s">
        <v>590</v>
      </c>
      <c r="C568" t="s">
        <v>15</v>
      </c>
      <c r="D568">
        <v>52</v>
      </c>
      <c r="E568" s="16" t="s">
        <v>11</v>
      </c>
      <c r="F568" s="17">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t="str">
        <f>_xlfn.XLOOKUP(calls[[#This Row],[Customer ID]],customers[Customer ID],customers[City])</f>
        <v>Cleveland</v>
      </c>
      <c r="N568">
        <f>_xlfn.XLOOKUP(calls[[#This Row],[Customer ID]],customers[Customer ID],customers[Age])</f>
        <v>22</v>
      </c>
      <c r="O568" t="str">
        <f>_xlfn.XLOOKUP(calls[[#This Row],[Customer ID]],customers[Customer ID],customers[Gender])</f>
        <v>Female</v>
      </c>
    </row>
    <row r="569" spans="2:15" x14ac:dyDescent="0.55000000000000004">
      <c r="B569" t="s">
        <v>591</v>
      </c>
      <c r="C569" t="s">
        <v>15</v>
      </c>
      <c r="D569">
        <v>74</v>
      </c>
      <c r="E569" s="16" t="s">
        <v>9</v>
      </c>
      <c r="F569" s="17">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t="str">
        <f>_xlfn.XLOOKUP(calls[[#This Row],[Customer ID]],customers[Customer ID],customers[City])</f>
        <v>Cleveland</v>
      </c>
      <c r="N569">
        <f>_xlfn.XLOOKUP(calls[[#This Row],[Customer ID]],customers[Customer ID],customers[Age])</f>
        <v>22</v>
      </c>
      <c r="O569" t="str">
        <f>_xlfn.XLOOKUP(calls[[#This Row],[Customer ID]],customers[Customer ID],customers[Gender])</f>
        <v>Female</v>
      </c>
    </row>
    <row r="570" spans="2:15" x14ac:dyDescent="0.55000000000000004">
      <c r="B570" t="s">
        <v>592</v>
      </c>
      <c r="C570" t="s">
        <v>23</v>
      </c>
      <c r="D570">
        <v>96</v>
      </c>
      <c r="E570" s="16" t="s">
        <v>10</v>
      </c>
      <c r="F570" s="17">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t="str">
        <f>_xlfn.XLOOKUP(calls[[#This Row],[Customer ID]],customers[Customer ID],customers[City])</f>
        <v>Columbus</v>
      </c>
      <c r="N570">
        <f>_xlfn.XLOOKUP(calls[[#This Row],[Customer ID]],customers[Customer ID],customers[Age])</f>
        <v>37</v>
      </c>
      <c r="O570" t="str">
        <f>_xlfn.XLOOKUP(calls[[#This Row],[Customer ID]],customers[Customer ID],customers[Gender])</f>
        <v>Male</v>
      </c>
    </row>
    <row r="571" spans="2:15" x14ac:dyDescent="0.55000000000000004">
      <c r="B571" t="s">
        <v>593</v>
      </c>
      <c r="C571" t="s">
        <v>14</v>
      </c>
      <c r="D571">
        <v>104</v>
      </c>
      <c r="E571" s="16" t="s">
        <v>6</v>
      </c>
      <c r="F571" s="17">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t="str">
        <f>_xlfn.XLOOKUP(calls[[#This Row],[Customer ID]],customers[Customer ID],customers[City])</f>
        <v>Cleveland</v>
      </c>
      <c r="N571">
        <f>_xlfn.XLOOKUP(calls[[#This Row],[Customer ID]],customers[Customer ID],customers[Age])</f>
        <v>37</v>
      </c>
      <c r="O571" t="str">
        <f>_xlfn.XLOOKUP(calls[[#This Row],[Customer ID]],customers[Customer ID],customers[Gender])</f>
        <v>Female</v>
      </c>
    </row>
    <row r="572" spans="2:15" x14ac:dyDescent="0.55000000000000004">
      <c r="B572" t="s">
        <v>594</v>
      </c>
      <c r="C572" t="s">
        <v>23</v>
      </c>
      <c r="D572">
        <v>123</v>
      </c>
      <c r="E572" s="16" t="s">
        <v>10</v>
      </c>
      <c r="F572" s="17">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t="str">
        <f>_xlfn.XLOOKUP(calls[[#This Row],[Customer ID]],customers[Customer ID],customers[City])</f>
        <v>Columbus</v>
      </c>
      <c r="N572">
        <f>_xlfn.XLOOKUP(calls[[#This Row],[Customer ID]],customers[Customer ID],customers[Age])</f>
        <v>37</v>
      </c>
      <c r="O572" t="str">
        <f>_xlfn.XLOOKUP(calls[[#This Row],[Customer ID]],customers[Customer ID],customers[Gender])</f>
        <v>Male</v>
      </c>
    </row>
    <row r="573" spans="2:15" x14ac:dyDescent="0.55000000000000004">
      <c r="B573" t="s">
        <v>595</v>
      </c>
      <c r="C573" t="s">
        <v>22</v>
      </c>
      <c r="D573">
        <v>100</v>
      </c>
      <c r="E573" s="16" t="s">
        <v>13</v>
      </c>
      <c r="F573" s="17">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t="str">
        <f>_xlfn.XLOOKUP(calls[[#This Row],[Customer ID]],customers[Customer ID],customers[City])</f>
        <v>Columbus</v>
      </c>
      <c r="N573">
        <f>_xlfn.XLOOKUP(calls[[#This Row],[Customer ID]],customers[Customer ID],customers[Age])</f>
        <v>25</v>
      </c>
      <c r="O573" t="str">
        <f>_xlfn.XLOOKUP(calls[[#This Row],[Customer ID]],customers[Customer ID],customers[Gender])</f>
        <v>Female</v>
      </c>
    </row>
    <row r="574" spans="2:15" x14ac:dyDescent="0.55000000000000004">
      <c r="B574" t="s">
        <v>596</v>
      </c>
      <c r="C574" t="s">
        <v>14</v>
      </c>
      <c r="D574">
        <v>35</v>
      </c>
      <c r="E574" s="16" t="s">
        <v>11</v>
      </c>
      <c r="F574" s="17">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t="str">
        <f>_xlfn.XLOOKUP(calls[[#This Row],[Customer ID]],customers[Customer ID],customers[City])</f>
        <v>Cleveland</v>
      </c>
      <c r="N574">
        <f>_xlfn.XLOOKUP(calls[[#This Row],[Customer ID]],customers[Customer ID],customers[Age])</f>
        <v>37</v>
      </c>
      <c r="O574" t="str">
        <f>_xlfn.XLOOKUP(calls[[#This Row],[Customer ID]],customers[Customer ID],customers[Gender])</f>
        <v>Female</v>
      </c>
    </row>
    <row r="575" spans="2:15" x14ac:dyDescent="0.55000000000000004">
      <c r="B575" t="s">
        <v>597</v>
      </c>
      <c r="C575" t="s">
        <v>15</v>
      </c>
      <c r="D575">
        <v>123</v>
      </c>
      <c r="E575" s="16" t="s">
        <v>6</v>
      </c>
      <c r="F575" s="17">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t="str">
        <f>_xlfn.XLOOKUP(calls[[#This Row],[Customer ID]],customers[Customer ID],customers[City])</f>
        <v>Cleveland</v>
      </c>
      <c r="N575">
        <f>_xlfn.XLOOKUP(calls[[#This Row],[Customer ID]],customers[Customer ID],customers[Age])</f>
        <v>22</v>
      </c>
      <c r="O575" t="str">
        <f>_xlfn.XLOOKUP(calls[[#This Row],[Customer ID]],customers[Customer ID],customers[Gender])</f>
        <v>Female</v>
      </c>
    </row>
    <row r="576" spans="2:15" x14ac:dyDescent="0.55000000000000004">
      <c r="B576" t="s">
        <v>598</v>
      </c>
      <c r="C576" t="s">
        <v>24</v>
      </c>
      <c r="D576">
        <v>133</v>
      </c>
      <c r="E576" s="16" t="s">
        <v>11</v>
      </c>
      <c r="F576" s="17">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t="str">
        <f>_xlfn.XLOOKUP(calls[[#This Row],[Customer ID]],customers[Customer ID],customers[City])</f>
        <v>Cleveland</v>
      </c>
      <c r="N576">
        <f>_xlfn.XLOOKUP(calls[[#This Row],[Customer ID]],customers[Customer ID],customers[Age])</f>
        <v>31</v>
      </c>
      <c r="O576" t="str">
        <f>_xlfn.XLOOKUP(calls[[#This Row],[Customer ID]],customers[Customer ID],customers[Gender])</f>
        <v>Male</v>
      </c>
    </row>
    <row r="577" spans="2:15" x14ac:dyDescent="0.55000000000000004">
      <c r="B577" t="s">
        <v>599</v>
      </c>
      <c r="C577" t="s">
        <v>23</v>
      </c>
      <c r="D577">
        <v>126</v>
      </c>
      <c r="E577" s="16" t="s">
        <v>9</v>
      </c>
      <c r="F577" s="17">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t="str">
        <f>_xlfn.XLOOKUP(calls[[#This Row],[Customer ID]],customers[Customer ID],customers[City])</f>
        <v>Columbus</v>
      </c>
      <c r="N577">
        <f>_xlfn.XLOOKUP(calls[[#This Row],[Customer ID]],customers[Customer ID],customers[Age])</f>
        <v>37</v>
      </c>
      <c r="O577" t="str">
        <f>_xlfn.XLOOKUP(calls[[#This Row],[Customer ID]],customers[Customer ID],customers[Gender])</f>
        <v>Male</v>
      </c>
    </row>
    <row r="578" spans="2:15" x14ac:dyDescent="0.55000000000000004">
      <c r="B578" t="s">
        <v>600</v>
      </c>
      <c r="C578" t="s">
        <v>15</v>
      </c>
      <c r="D578">
        <v>39</v>
      </c>
      <c r="E578" s="16" t="s">
        <v>10</v>
      </c>
      <c r="F578" s="17">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t="str">
        <f>_xlfn.XLOOKUP(calls[[#This Row],[Customer ID]],customers[Customer ID],customers[City])</f>
        <v>Cleveland</v>
      </c>
      <c r="N578">
        <f>_xlfn.XLOOKUP(calls[[#This Row],[Customer ID]],customers[Customer ID],customers[Age])</f>
        <v>22</v>
      </c>
      <c r="O578" t="str">
        <f>_xlfn.XLOOKUP(calls[[#This Row],[Customer ID]],customers[Customer ID],customers[Gender])</f>
        <v>Female</v>
      </c>
    </row>
    <row r="579" spans="2:15" x14ac:dyDescent="0.55000000000000004">
      <c r="B579" t="s">
        <v>601</v>
      </c>
      <c r="C579" t="s">
        <v>19</v>
      </c>
      <c r="D579">
        <v>31</v>
      </c>
      <c r="E579" s="16" t="s">
        <v>6</v>
      </c>
      <c r="F579" s="17">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t="str">
        <f>_xlfn.XLOOKUP(calls[[#This Row],[Customer ID]],customers[Customer ID],customers[City])</f>
        <v>Cleveland</v>
      </c>
      <c r="N579">
        <f>_xlfn.XLOOKUP(calls[[#This Row],[Customer ID]],customers[Customer ID],customers[Age])</f>
        <v>43</v>
      </c>
      <c r="O579" t="str">
        <f>_xlfn.XLOOKUP(calls[[#This Row],[Customer ID]],customers[Customer ID],customers[Gender])</f>
        <v>Female</v>
      </c>
    </row>
    <row r="580" spans="2:15" x14ac:dyDescent="0.55000000000000004">
      <c r="B580" t="s">
        <v>602</v>
      </c>
      <c r="C580" t="s">
        <v>8</v>
      </c>
      <c r="D580">
        <v>25</v>
      </c>
      <c r="E580" s="16" t="s">
        <v>11</v>
      </c>
      <c r="F580" s="17">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t="str">
        <f>_xlfn.XLOOKUP(calls[[#This Row],[Customer ID]],customers[Customer ID],customers[City])</f>
        <v>Cincinnati</v>
      </c>
      <c r="N580">
        <f>_xlfn.XLOOKUP(calls[[#This Row],[Customer ID]],customers[Customer ID],customers[Age])</f>
        <v>30</v>
      </c>
      <c r="O580" t="str">
        <f>_xlfn.XLOOKUP(calls[[#This Row],[Customer ID]],customers[Customer ID],customers[Gender])</f>
        <v>Female</v>
      </c>
    </row>
    <row r="581" spans="2:15" x14ac:dyDescent="0.55000000000000004">
      <c r="B581" t="s">
        <v>603</v>
      </c>
      <c r="C581" t="s">
        <v>12</v>
      </c>
      <c r="D581">
        <v>132</v>
      </c>
      <c r="E581" s="16" t="s">
        <v>13</v>
      </c>
      <c r="F581" s="17">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t="str">
        <f>_xlfn.XLOOKUP(calls[[#This Row],[Customer ID]],customers[Customer ID],customers[City])</f>
        <v>Cincinnati</v>
      </c>
      <c r="N581">
        <f>_xlfn.XLOOKUP(calls[[#This Row],[Customer ID]],customers[Customer ID],customers[Age])</f>
        <v>36</v>
      </c>
      <c r="O581" t="str">
        <f>_xlfn.XLOOKUP(calls[[#This Row],[Customer ID]],customers[Customer ID],customers[Gender])</f>
        <v>Male</v>
      </c>
    </row>
    <row r="582" spans="2:15" x14ac:dyDescent="0.55000000000000004">
      <c r="B582" t="s">
        <v>604</v>
      </c>
      <c r="C582" t="s">
        <v>14</v>
      </c>
      <c r="D582">
        <v>63</v>
      </c>
      <c r="E582" s="16" t="s">
        <v>9</v>
      </c>
      <c r="F582" s="17">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t="str">
        <f>_xlfn.XLOOKUP(calls[[#This Row],[Customer ID]],customers[Customer ID],customers[City])</f>
        <v>Cleveland</v>
      </c>
      <c r="N582">
        <f>_xlfn.XLOOKUP(calls[[#This Row],[Customer ID]],customers[Customer ID],customers[Age])</f>
        <v>37</v>
      </c>
      <c r="O582" t="str">
        <f>_xlfn.XLOOKUP(calls[[#This Row],[Customer ID]],customers[Customer ID],customers[Gender])</f>
        <v>Female</v>
      </c>
    </row>
    <row r="583" spans="2:15" x14ac:dyDescent="0.55000000000000004">
      <c r="B583" t="s">
        <v>605</v>
      </c>
      <c r="C583" t="s">
        <v>22</v>
      </c>
      <c r="D583">
        <v>135</v>
      </c>
      <c r="E583" s="16" t="s">
        <v>13</v>
      </c>
      <c r="F583" s="17">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t="str">
        <f>_xlfn.XLOOKUP(calls[[#This Row],[Customer ID]],customers[Customer ID],customers[City])</f>
        <v>Columbus</v>
      </c>
      <c r="N583">
        <f>_xlfn.XLOOKUP(calls[[#This Row],[Customer ID]],customers[Customer ID],customers[Age])</f>
        <v>25</v>
      </c>
      <c r="O583" t="str">
        <f>_xlfn.XLOOKUP(calls[[#This Row],[Customer ID]],customers[Customer ID],customers[Gender])</f>
        <v>Female</v>
      </c>
    </row>
    <row r="584" spans="2:15" x14ac:dyDescent="0.55000000000000004">
      <c r="B584" t="s">
        <v>606</v>
      </c>
      <c r="C584" t="s">
        <v>18</v>
      </c>
      <c r="D584">
        <v>101</v>
      </c>
      <c r="E584" s="16" t="s">
        <v>9</v>
      </c>
      <c r="F584" s="17">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t="str">
        <f>_xlfn.XLOOKUP(calls[[#This Row],[Customer ID]],customers[Customer ID],customers[City])</f>
        <v>Cleveland</v>
      </c>
      <c r="N584">
        <f>_xlfn.XLOOKUP(calls[[#This Row],[Customer ID]],customers[Customer ID],customers[Age])</f>
        <v>30</v>
      </c>
      <c r="O584" t="str">
        <f>_xlfn.XLOOKUP(calls[[#This Row],[Customer ID]],customers[Customer ID],customers[Gender])</f>
        <v>Female</v>
      </c>
    </row>
    <row r="585" spans="2:15" x14ac:dyDescent="0.55000000000000004">
      <c r="B585" t="s">
        <v>607</v>
      </c>
      <c r="C585" t="s">
        <v>24</v>
      </c>
      <c r="D585">
        <v>80</v>
      </c>
      <c r="E585" s="16" t="s">
        <v>10</v>
      </c>
      <c r="F585" s="17">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t="str">
        <f>_xlfn.XLOOKUP(calls[[#This Row],[Customer ID]],customers[Customer ID],customers[City])</f>
        <v>Cleveland</v>
      </c>
      <c r="N585">
        <f>_xlfn.XLOOKUP(calls[[#This Row],[Customer ID]],customers[Customer ID],customers[Age])</f>
        <v>31</v>
      </c>
      <c r="O585" t="str">
        <f>_xlfn.XLOOKUP(calls[[#This Row],[Customer ID]],customers[Customer ID],customers[Gender])</f>
        <v>Male</v>
      </c>
    </row>
    <row r="586" spans="2:15" x14ac:dyDescent="0.55000000000000004">
      <c r="B586" t="s">
        <v>608</v>
      </c>
      <c r="C586" t="s">
        <v>17</v>
      </c>
      <c r="D586">
        <v>28</v>
      </c>
      <c r="E586" s="16" t="s">
        <v>10</v>
      </c>
      <c r="F586" s="17">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t="str">
        <f>_xlfn.XLOOKUP(calls[[#This Row],[Customer ID]],customers[Customer ID],customers[City])</f>
        <v>Columbus</v>
      </c>
      <c r="N586">
        <f>_xlfn.XLOOKUP(calls[[#This Row],[Customer ID]],customers[Customer ID],customers[Age])</f>
        <v>41</v>
      </c>
      <c r="O586" t="str">
        <f>_xlfn.XLOOKUP(calls[[#This Row],[Customer ID]],customers[Customer ID],customers[Gender])</f>
        <v>Male</v>
      </c>
    </row>
    <row r="587" spans="2:15" x14ac:dyDescent="0.55000000000000004">
      <c r="B587" t="s">
        <v>609</v>
      </c>
      <c r="C587" t="s">
        <v>18</v>
      </c>
      <c r="D587">
        <v>102</v>
      </c>
      <c r="E587" s="16" t="s">
        <v>13</v>
      </c>
      <c r="F587" s="17">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t="str">
        <f>_xlfn.XLOOKUP(calls[[#This Row],[Customer ID]],customers[Customer ID],customers[City])</f>
        <v>Cleveland</v>
      </c>
      <c r="N587">
        <f>_xlfn.XLOOKUP(calls[[#This Row],[Customer ID]],customers[Customer ID],customers[Age])</f>
        <v>30</v>
      </c>
      <c r="O587" t="str">
        <f>_xlfn.XLOOKUP(calls[[#This Row],[Customer ID]],customers[Customer ID],customers[Gender])</f>
        <v>Female</v>
      </c>
    </row>
    <row r="588" spans="2:15" x14ac:dyDescent="0.55000000000000004">
      <c r="B588" t="s">
        <v>610</v>
      </c>
      <c r="C588" t="s">
        <v>14</v>
      </c>
      <c r="D588">
        <v>60</v>
      </c>
      <c r="E588" s="16" t="s">
        <v>13</v>
      </c>
      <c r="F588" s="17">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t="str">
        <f>_xlfn.XLOOKUP(calls[[#This Row],[Customer ID]],customers[Customer ID],customers[City])</f>
        <v>Cleveland</v>
      </c>
      <c r="N588">
        <f>_xlfn.XLOOKUP(calls[[#This Row],[Customer ID]],customers[Customer ID],customers[Age])</f>
        <v>37</v>
      </c>
      <c r="O588" t="str">
        <f>_xlfn.XLOOKUP(calls[[#This Row],[Customer ID]],customers[Customer ID],customers[Gender])</f>
        <v>Female</v>
      </c>
    </row>
    <row r="589" spans="2:15" x14ac:dyDescent="0.55000000000000004">
      <c r="B589" t="s">
        <v>611</v>
      </c>
      <c r="C589" t="s">
        <v>21</v>
      </c>
      <c r="D589">
        <v>103</v>
      </c>
      <c r="E589" s="16" t="s">
        <v>13</v>
      </c>
      <c r="F589" s="17">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t="str">
        <f>_xlfn.XLOOKUP(calls[[#This Row],[Customer ID]],customers[Customer ID],customers[City])</f>
        <v>Columbus</v>
      </c>
      <c r="N589">
        <f>_xlfn.XLOOKUP(calls[[#This Row],[Customer ID]],customers[Customer ID],customers[Age])</f>
        <v>38</v>
      </c>
      <c r="O589" t="str">
        <f>_xlfn.XLOOKUP(calls[[#This Row],[Customer ID]],customers[Customer ID],customers[Gender])</f>
        <v>Female</v>
      </c>
    </row>
    <row r="590" spans="2:15" x14ac:dyDescent="0.55000000000000004">
      <c r="B590" t="s">
        <v>612</v>
      </c>
      <c r="C590" t="s">
        <v>24</v>
      </c>
      <c r="D590">
        <v>90</v>
      </c>
      <c r="E590" s="16" t="s">
        <v>10</v>
      </c>
      <c r="F590" s="17">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t="str">
        <f>_xlfn.XLOOKUP(calls[[#This Row],[Customer ID]],customers[Customer ID],customers[City])</f>
        <v>Cleveland</v>
      </c>
      <c r="N590">
        <f>_xlfn.XLOOKUP(calls[[#This Row],[Customer ID]],customers[Customer ID],customers[Age])</f>
        <v>31</v>
      </c>
      <c r="O590" t="str">
        <f>_xlfn.XLOOKUP(calls[[#This Row],[Customer ID]],customers[Customer ID],customers[Gender])</f>
        <v>Male</v>
      </c>
    </row>
    <row r="591" spans="2:15" x14ac:dyDescent="0.55000000000000004">
      <c r="B591" t="s">
        <v>613</v>
      </c>
      <c r="C591" t="s">
        <v>16</v>
      </c>
      <c r="D591">
        <v>88</v>
      </c>
      <c r="E591" s="16" t="s">
        <v>13</v>
      </c>
      <c r="F591" s="17">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t="str">
        <f>_xlfn.XLOOKUP(calls[[#This Row],[Customer ID]],customers[Customer ID],customers[City])</f>
        <v>Cincinnati</v>
      </c>
      <c r="N591">
        <f>_xlfn.XLOOKUP(calls[[#This Row],[Customer ID]],customers[Customer ID],customers[Age])</f>
        <v>28</v>
      </c>
      <c r="O591" t="str">
        <f>_xlfn.XLOOKUP(calls[[#This Row],[Customer ID]],customers[Customer ID],customers[Gender])</f>
        <v>Female</v>
      </c>
    </row>
    <row r="592" spans="2:15" x14ac:dyDescent="0.55000000000000004">
      <c r="B592" t="s">
        <v>614</v>
      </c>
      <c r="C592" t="s">
        <v>21</v>
      </c>
      <c r="D592">
        <v>37</v>
      </c>
      <c r="E592" s="16" t="s">
        <v>13</v>
      </c>
      <c r="F592" s="17">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t="str">
        <f>_xlfn.XLOOKUP(calls[[#This Row],[Customer ID]],customers[Customer ID],customers[City])</f>
        <v>Columbus</v>
      </c>
      <c r="N592">
        <f>_xlfn.XLOOKUP(calls[[#This Row],[Customer ID]],customers[Customer ID],customers[Age])</f>
        <v>38</v>
      </c>
      <c r="O592" t="str">
        <f>_xlfn.XLOOKUP(calls[[#This Row],[Customer ID]],customers[Customer ID],customers[Gender])</f>
        <v>Female</v>
      </c>
    </row>
    <row r="593" spans="2:15" x14ac:dyDescent="0.55000000000000004">
      <c r="B593" t="s">
        <v>615</v>
      </c>
      <c r="C593" t="s">
        <v>17</v>
      </c>
      <c r="D593">
        <v>142</v>
      </c>
      <c r="E593" s="16" t="s">
        <v>10</v>
      </c>
      <c r="F593" s="17">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t="str">
        <f>_xlfn.XLOOKUP(calls[[#This Row],[Customer ID]],customers[Customer ID],customers[City])</f>
        <v>Columbus</v>
      </c>
      <c r="N593">
        <f>_xlfn.XLOOKUP(calls[[#This Row],[Customer ID]],customers[Customer ID],customers[Age])</f>
        <v>41</v>
      </c>
      <c r="O593" t="str">
        <f>_xlfn.XLOOKUP(calls[[#This Row],[Customer ID]],customers[Customer ID],customers[Gender])</f>
        <v>Male</v>
      </c>
    </row>
    <row r="594" spans="2:15" x14ac:dyDescent="0.55000000000000004">
      <c r="B594" t="s">
        <v>616</v>
      </c>
      <c r="C594" t="s">
        <v>17</v>
      </c>
      <c r="D594">
        <v>153</v>
      </c>
      <c r="E594" s="16" t="s">
        <v>11</v>
      </c>
      <c r="F594" s="17">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t="str">
        <f>_xlfn.XLOOKUP(calls[[#This Row],[Customer ID]],customers[Customer ID],customers[City])</f>
        <v>Columbus</v>
      </c>
      <c r="N594">
        <f>_xlfn.XLOOKUP(calls[[#This Row],[Customer ID]],customers[Customer ID],customers[Age])</f>
        <v>41</v>
      </c>
      <c r="O594" t="str">
        <f>_xlfn.XLOOKUP(calls[[#This Row],[Customer ID]],customers[Customer ID],customers[Gender])</f>
        <v>Male</v>
      </c>
    </row>
    <row r="595" spans="2:15" x14ac:dyDescent="0.55000000000000004">
      <c r="B595" t="s">
        <v>617</v>
      </c>
      <c r="C595" t="s">
        <v>7</v>
      </c>
      <c r="D595">
        <v>128</v>
      </c>
      <c r="E595" s="16" t="s">
        <v>9</v>
      </c>
      <c r="F595" s="17">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t="str">
        <f>_xlfn.XLOOKUP(calls[[#This Row],[Customer ID]],customers[Customer ID],customers[City])</f>
        <v>Columbus</v>
      </c>
      <c r="N595">
        <f>_xlfn.XLOOKUP(calls[[#This Row],[Customer ID]],customers[Customer ID],customers[Age])</f>
        <v>23</v>
      </c>
      <c r="O595" t="str">
        <f>_xlfn.XLOOKUP(calls[[#This Row],[Customer ID]],customers[Customer ID],customers[Gender])</f>
        <v>Male</v>
      </c>
    </row>
    <row r="596" spans="2:15" x14ac:dyDescent="0.55000000000000004">
      <c r="B596" t="s">
        <v>618</v>
      </c>
      <c r="C596" t="s">
        <v>14</v>
      </c>
      <c r="D596">
        <v>110</v>
      </c>
      <c r="E596" s="16" t="s">
        <v>9</v>
      </c>
      <c r="F596" s="17">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t="str">
        <f>_xlfn.XLOOKUP(calls[[#This Row],[Customer ID]],customers[Customer ID],customers[City])</f>
        <v>Cleveland</v>
      </c>
      <c r="N596">
        <f>_xlfn.XLOOKUP(calls[[#This Row],[Customer ID]],customers[Customer ID],customers[Age])</f>
        <v>37</v>
      </c>
      <c r="O596" t="str">
        <f>_xlfn.XLOOKUP(calls[[#This Row],[Customer ID]],customers[Customer ID],customers[Gender])</f>
        <v>Female</v>
      </c>
    </row>
    <row r="597" spans="2:15" x14ac:dyDescent="0.55000000000000004">
      <c r="B597" t="s">
        <v>619</v>
      </c>
      <c r="C597" t="s">
        <v>7</v>
      </c>
      <c r="D597">
        <v>139</v>
      </c>
      <c r="E597" s="16" t="s">
        <v>13</v>
      </c>
      <c r="F597" s="17">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t="str">
        <f>_xlfn.XLOOKUP(calls[[#This Row],[Customer ID]],customers[Customer ID],customers[City])</f>
        <v>Columbus</v>
      </c>
      <c r="N597">
        <f>_xlfn.XLOOKUP(calls[[#This Row],[Customer ID]],customers[Customer ID],customers[Age])</f>
        <v>23</v>
      </c>
      <c r="O597" t="str">
        <f>_xlfn.XLOOKUP(calls[[#This Row],[Customer ID]],customers[Customer ID],customers[Gender])</f>
        <v>Male</v>
      </c>
    </row>
    <row r="598" spans="2:15" x14ac:dyDescent="0.55000000000000004">
      <c r="B598" t="s">
        <v>620</v>
      </c>
      <c r="C598" t="s">
        <v>18</v>
      </c>
      <c r="D598">
        <v>109</v>
      </c>
      <c r="E598" s="16" t="s">
        <v>6</v>
      </c>
      <c r="F598" s="17">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t="str">
        <f>_xlfn.XLOOKUP(calls[[#This Row],[Customer ID]],customers[Customer ID],customers[City])</f>
        <v>Cleveland</v>
      </c>
      <c r="N598">
        <f>_xlfn.XLOOKUP(calls[[#This Row],[Customer ID]],customers[Customer ID],customers[Age])</f>
        <v>30</v>
      </c>
      <c r="O598" t="str">
        <f>_xlfn.XLOOKUP(calls[[#This Row],[Customer ID]],customers[Customer ID],customers[Gender])</f>
        <v>Female</v>
      </c>
    </row>
    <row r="599" spans="2:15" x14ac:dyDescent="0.55000000000000004">
      <c r="B599" t="s">
        <v>621</v>
      </c>
      <c r="C599" t="s">
        <v>12</v>
      </c>
      <c r="D599">
        <v>57</v>
      </c>
      <c r="E599" s="16" t="s">
        <v>10</v>
      </c>
      <c r="F599" s="17">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t="str">
        <f>_xlfn.XLOOKUP(calls[[#This Row],[Customer ID]],customers[Customer ID],customers[City])</f>
        <v>Cincinnati</v>
      </c>
      <c r="N599">
        <f>_xlfn.XLOOKUP(calls[[#This Row],[Customer ID]],customers[Customer ID],customers[Age])</f>
        <v>36</v>
      </c>
      <c r="O599" t="str">
        <f>_xlfn.XLOOKUP(calls[[#This Row],[Customer ID]],customers[Customer ID],customers[Gender])</f>
        <v>Male</v>
      </c>
    </row>
    <row r="600" spans="2:15" x14ac:dyDescent="0.55000000000000004">
      <c r="B600" t="s">
        <v>622</v>
      </c>
      <c r="C600" t="s">
        <v>18</v>
      </c>
      <c r="D600">
        <v>68</v>
      </c>
      <c r="E600" s="16" t="s">
        <v>13</v>
      </c>
      <c r="F600" s="17">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t="str">
        <f>_xlfn.XLOOKUP(calls[[#This Row],[Customer ID]],customers[Customer ID],customers[City])</f>
        <v>Cleveland</v>
      </c>
      <c r="N600">
        <f>_xlfn.XLOOKUP(calls[[#This Row],[Customer ID]],customers[Customer ID],customers[Age])</f>
        <v>30</v>
      </c>
      <c r="O600" t="str">
        <f>_xlfn.XLOOKUP(calls[[#This Row],[Customer ID]],customers[Customer ID],customers[Gender])</f>
        <v>Female</v>
      </c>
    </row>
    <row r="601" spans="2:15" x14ac:dyDescent="0.55000000000000004">
      <c r="B601" t="s">
        <v>623</v>
      </c>
      <c r="C601" t="s">
        <v>8</v>
      </c>
      <c r="D601">
        <v>128</v>
      </c>
      <c r="E601" s="16" t="s">
        <v>13</v>
      </c>
      <c r="F601" s="17">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t="str">
        <f>_xlfn.XLOOKUP(calls[[#This Row],[Customer ID]],customers[Customer ID],customers[City])</f>
        <v>Cincinnati</v>
      </c>
      <c r="N601">
        <f>_xlfn.XLOOKUP(calls[[#This Row],[Customer ID]],customers[Customer ID],customers[Age])</f>
        <v>30</v>
      </c>
      <c r="O601" t="str">
        <f>_xlfn.XLOOKUP(calls[[#This Row],[Customer ID]],customers[Customer ID],customers[Gender])</f>
        <v>Female</v>
      </c>
    </row>
    <row r="602" spans="2:15" x14ac:dyDescent="0.55000000000000004">
      <c r="B602" t="s">
        <v>624</v>
      </c>
      <c r="C602" t="s">
        <v>20</v>
      </c>
      <c r="D602">
        <v>102</v>
      </c>
      <c r="E602" s="16" t="s">
        <v>10</v>
      </c>
      <c r="F602" s="17">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t="str">
        <f>_xlfn.XLOOKUP(calls[[#This Row],[Customer ID]],customers[Customer ID],customers[City])</f>
        <v>Cincinnati</v>
      </c>
      <c r="N602">
        <f>_xlfn.XLOOKUP(calls[[#This Row],[Customer ID]],customers[Customer ID],customers[Age])</f>
        <v>26</v>
      </c>
      <c r="O602" t="str">
        <f>_xlfn.XLOOKUP(calls[[#This Row],[Customer ID]],customers[Customer ID],customers[Gender])</f>
        <v>Male</v>
      </c>
    </row>
    <row r="603" spans="2:15" x14ac:dyDescent="0.55000000000000004">
      <c r="B603" t="s">
        <v>625</v>
      </c>
      <c r="C603" t="s">
        <v>7</v>
      </c>
      <c r="D603">
        <v>52</v>
      </c>
      <c r="E603" s="16" t="s">
        <v>11</v>
      </c>
      <c r="F603" s="17">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t="str">
        <f>_xlfn.XLOOKUP(calls[[#This Row],[Customer ID]],customers[Customer ID],customers[City])</f>
        <v>Columbus</v>
      </c>
      <c r="N603">
        <f>_xlfn.XLOOKUP(calls[[#This Row],[Customer ID]],customers[Customer ID],customers[Age])</f>
        <v>23</v>
      </c>
      <c r="O603" t="str">
        <f>_xlfn.XLOOKUP(calls[[#This Row],[Customer ID]],customers[Customer ID],customers[Gender])</f>
        <v>Male</v>
      </c>
    </row>
    <row r="604" spans="2:15" x14ac:dyDescent="0.55000000000000004">
      <c r="B604" t="s">
        <v>626</v>
      </c>
      <c r="C604" t="s">
        <v>8</v>
      </c>
      <c r="D604">
        <v>55</v>
      </c>
      <c r="E604" s="16" t="s">
        <v>9</v>
      </c>
      <c r="F604" s="17">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t="str">
        <f>_xlfn.XLOOKUP(calls[[#This Row],[Customer ID]],customers[Customer ID],customers[City])</f>
        <v>Cincinnati</v>
      </c>
      <c r="N604">
        <f>_xlfn.XLOOKUP(calls[[#This Row],[Customer ID]],customers[Customer ID],customers[Age])</f>
        <v>30</v>
      </c>
      <c r="O604" t="str">
        <f>_xlfn.XLOOKUP(calls[[#This Row],[Customer ID]],customers[Customer ID],customers[Gender])</f>
        <v>Female</v>
      </c>
    </row>
    <row r="605" spans="2:15" x14ac:dyDescent="0.55000000000000004">
      <c r="B605" t="s">
        <v>627</v>
      </c>
      <c r="C605" t="s">
        <v>21</v>
      </c>
      <c r="D605">
        <v>107</v>
      </c>
      <c r="E605" s="16" t="s">
        <v>13</v>
      </c>
      <c r="F605" s="17">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t="str">
        <f>_xlfn.XLOOKUP(calls[[#This Row],[Customer ID]],customers[Customer ID],customers[City])</f>
        <v>Columbus</v>
      </c>
      <c r="N605">
        <f>_xlfn.XLOOKUP(calls[[#This Row],[Customer ID]],customers[Customer ID],customers[Age])</f>
        <v>38</v>
      </c>
      <c r="O605" t="str">
        <f>_xlfn.XLOOKUP(calls[[#This Row],[Customer ID]],customers[Customer ID],customers[Gender])</f>
        <v>Female</v>
      </c>
    </row>
    <row r="606" spans="2:15" x14ac:dyDescent="0.55000000000000004">
      <c r="B606" t="s">
        <v>628</v>
      </c>
      <c r="C606" t="s">
        <v>24</v>
      </c>
      <c r="D606">
        <v>88</v>
      </c>
      <c r="E606" s="16" t="s">
        <v>11</v>
      </c>
      <c r="F606" s="17">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t="str">
        <f>_xlfn.XLOOKUP(calls[[#This Row],[Customer ID]],customers[Customer ID],customers[City])</f>
        <v>Cleveland</v>
      </c>
      <c r="N606">
        <f>_xlfn.XLOOKUP(calls[[#This Row],[Customer ID]],customers[Customer ID],customers[Age])</f>
        <v>31</v>
      </c>
      <c r="O606" t="str">
        <f>_xlfn.XLOOKUP(calls[[#This Row],[Customer ID]],customers[Customer ID],customers[Gender])</f>
        <v>Male</v>
      </c>
    </row>
    <row r="607" spans="2:15" x14ac:dyDescent="0.55000000000000004">
      <c r="B607" t="s">
        <v>629</v>
      </c>
      <c r="C607" t="s">
        <v>15</v>
      </c>
      <c r="D607">
        <v>49</v>
      </c>
      <c r="E607" s="16" t="s">
        <v>11</v>
      </c>
      <c r="F607" s="17">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t="str">
        <f>_xlfn.XLOOKUP(calls[[#This Row],[Customer ID]],customers[Customer ID],customers[City])</f>
        <v>Cleveland</v>
      </c>
      <c r="N607">
        <f>_xlfn.XLOOKUP(calls[[#This Row],[Customer ID]],customers[Customer ID],customers[Age])</f>
        <v>22</v>
      </c>
      <c r="O607" t="str">
        <f>_xlfn.XLOOKUP(calls[[#This Row],[Customer ID]],customers[Customer ID],customers[Gender])</f>
        <v>Female</v>
      </c>
    </row>
    <row r="608" spans="2:15" x14ac:dyDescent="0.55000000000000004">
      <c r="B608" t="s">
        <v>630</v>
      </c>
      <c r="C608" t="s">
        <v>24</v>
      </c>
      <c r="D608">
        <v>72</v>
      </c>
      <c r="E608" s="16" t="s">
        <v>10</v>
      </c>
      <c r="F608" s="17">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t="str">
        <f>_xlfn.XLOOKUP(calls[[#This Row],[Customer ID]],customers[Customer ID],customers[City])</f>
        <v>Cleveland</v>
      </c>
      <c r="N608">
        <f>_xlfn.XLOOKUP(calls[[#This Row],[Customer ID]],customers[Customer ID],customers[Age])</f>
        <v>31</v>
      </c>
      <c r="O608" t="str">
        <f>_xlfn.XLOOKUP(calls[[#This Row],[Customer ID]],customers[Customer ID],customers[Gender])</f>
        <v>Male</v>
      </c>
    </row>
    <row r="609" spans="2:15" x14ac:dyDescent="0.55000000000000004">
      <c r="B609" t="s">
        <v>631</v>
      </c>
      <c r="C609" t="s">
        <v>12</v>
      </c>
      <c r="D609">
        <v>50</v>
      </c>
      <c r="E609" s="16" t="s">
        <v>10</v>
      </c>
      <c r="F609" s="17">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t="str">
        <f>_xlfn.XLOOKUP(calls[[#This Row],[Customer ID]],customers[Customer ID],customers[City])</f>
        <v>Cincinnati</v>
      </c>
      <c r="N609">
        <f>_xlfn.XLOOKUP(calls[[#This Row],[Customer ID]],customers[Customer ID],customers[Age])</f>
        <v>36</v>
      </c>
      <c r="O609" t="str">
        <f>_xlfn.XLOOKUP(calls[[#This Row],[Customer ID]],customers[Customer ID],customers[Gender])</f>
        <v>Male</v>
      </c>
    </row>
    <row r="610" spans="2:15" x14ac:dyDescent="0.55000000000000004">
      <c r="B610" t="s">
        <v>632</v>
      </c>
      <c r="C610" t="s">
        <v>24</v>
      </c>
      <c r="D610">
        <v>52</v>
      </c>
      <c r="E610" s="16" t="s">
        <v>13</v>
      </c>
      <c r="F610" s="17">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t="str">
        <f>_xlfn.XLOOKUP(calls[[#This Row],[Customer ID]],customers[Customer ID],customers[City])</f>
        <v>Cleveland</v>
      </c>
      <c r="N610">
        <f>_xlfn.XLOOKUP(calls[[#This Row],[Customer ID]],customers[Customer ID],customers[Age])</f>
        <v>31</v>
      </c>
      <c r="O610" t="str">
        <f>_xlfn.XLOOKUP(calls[[#This Row],[Customer ID]],customers[Customer ID],customers[Gender])</f>
        <v>Male</v>
      </c>
    </row>
    <row r="611" spans="2:15" x14ac:dyDescent="0.55000000000000004">
      <c r="B611" t="s">
        <v>633</v>
      </c>
      <c r="C611" t="s">
        <v>23</v>
      </c>
      <c r="D611">
        <v>85</v>
      </c>
      <c r="E611" s="16" t="s">
        <v>6</v>
      </c>
      <c r="F611" s="17">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t="str">
        <f>_xlfn.XLOOKUP(calls[[#This Row],[Customer ID]],customers[Customer ID],customers[City])</f>
        <v>Columbus</v>
      </c>
      <c r="N611">
        <f>_xlfn.XLOOKUP(calls[[#This Row],[Customer ID]],customers[Customer ID],customers[Age])</f>
        <v>37</v>
      </c>
      <c r="O611" t="str">
        <f>_xlfn.XLOOKUP(calls[[#This Row],[Customer ID]],customers[Customer ID],customers[Gender])</f>
        <v>Male</v>
      </c>
    </row>
    <row r="612" spans="2:15" x14ac:dyDescent="0.55000000000000004">
      <c r="B612" t="s">
        <v>634</v>
      </c>
      <c r="C612" t="s">
        <v>22</v>
      </c>
      <c r="D612">
        <v>98</v>
      </c>
      <c r="E612" s="16" t="s">
        <v>6</v>
      </c>
      <c r="F612" s="17">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t="str">
        <f>_xlfn.XLOOKUP(calls[[#This Row],[Customer ID]],customers[Customer ID],customers[City])</f>
        <v>Columbus</v>
      </c>
      <c r="N612">
        <f>_xlfn.XLOOKUP(calls[[#This Row],[Customer ID]],customers[Customer ID],customers[Age])</f>
        <v>25</v>
      </c>
      <c r="O612" t="str">
        <f>_xlfn.XLOOKUP(calls[[#This Row],[Customer ID]],customers[Customer ID],customers[Gender])</f>
        <v>Female</v>
      </c>
    </row>
    <row r="613" spans="2:15" x14ac:dyDescent="0.55000000000000004">
      <c r="B613" t="s">
        <v>635</v>
      </c>
      <c r="C613" t="s">
        <v>19</v>
      </c>
      <c r="D613">
        <v>52</v>
      </c>
      <c r="E613" s="16" t="s">
        <v>6</v>
      </c>
      <c r="F613" s="17">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t="str">
        <f>_xlfn.XLOOKUP(calls[[#This Row],[Customer ID]],customers[Customer ID],customers[City])</f>
        <v>Cleveland</v>
      </c>
      <c r="N613">
        <f>_xlfn.XLOOKUP(calls[[#This Row],[Customer ID]],customers[Customer ID],customers[Age])</f>
        <v>43</v>
      </c>
      <c r="O613" t="str">
        <f>_xlfn.XLOOKUP(calls[[#This Row],[Customer ID]],customers[Customer ID],customers[Gender])</f>
        <v>Female</v>
      </c>
    </row>
    <row r="614" spans="2:15" x14ac:dyDescent="0.55000000000000004">
      <c r="B614" t="s">
        <v>636</v>
      </c>
      <c r="C614" t="s">
        <v>8</v>
      </c>
      <c r="D614">
        <v>154</v>
      </c>
      <c r="E614" s="16" t="s">
        <v>11</v>
      </c>
      <c r="F614" s="17">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t="str">
        <f>_xlfn.XLOOKUP(calls[[#This Row],[Customer ID]],customers[Customer ID],customers[City])</f>
        <v>Cincinnati</v>
      </c>
      <c r="N614">
        <f>_xlfn.XLOOKUP(calls[[#This Row],[Customer ID]],customers[Customer ID],customers[Age])</f>
        <v>30</v>
      </c>
      <c r="O614" t="str">
        <f>_xlfn.XLOOKUP(calls[[#This Row],[Customer ID]],customers[Customer ID],customers[Gender])</f>
        <v>Female</v>
      </c>
    </row>
    <row r="615" spans="2:15" x14ac:dyDescent="0.55000000000000004">
      <c r="B615" t="s">
        <v>637</v>
      </c>
      <c r="C615" t="s">
        <v>5</v>
      </c>
      <c r="D615">
        <v>131</v>
      </c>
      <c r="E615" s="16" t="s">
        <v>9</v>
      </c>
      <c r="F615" s="17">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t="str">
        <f>_xlfn.XLOOKUP(calls[[#This Row],[Customer ID]],customers[Customer ID],customers[City])</f>
        <v>Cleveland</v>
      </c>
      <c r="N615">
        <f>_xlfn.XLOOKUP(calls[[#This Row],[Customer ID]],customers[Customer ID],customers[Age])</f>
        <v>42</v>
      </c>
      <c r="O615" t="str">
        <f>_xlfn.XLOOKUP(calls[[#This Row],[Customer ID]],customers[Customer ID],customers[Gender])</f>
        <v>Female</v>
      </c>
    </row>
    <row r="616" spans="2:15" x14ac:dyDescent="0.55000000000000004">
      <c r="B616" t="s">
        <v>638</v>
      </c>
      <c r="C616" t="s">
        <v>23</v>
      </c>
      <c r="D616">
        <v>73</v>
      </c>
      <c r="E616" s="16" t="s">
        <v>9</v>
      </c>
      <c r="F616" s="17">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t="str">
        <f>_xlfn.XLOOKUP(calls[[#This Row],[Customer ID]],customers[Customer ID],customers[City])</f>
        <v>Columbus</v>
      </c>
      <c r="N616">
        <f>_xlfn.XLOOKUP(calls[[#This Row],[Customer ID]],customers[Customer ID],customers[Age])</f>
        <v>37</v>
      </c>
      <c r="O616" t="str">
        <f>_xlfn.XLOOKUP(calls[[#This Row],[Customer ID]],customers[Customer ID],customers[Gender])</f>
        <v>Male</v>
      </c>
    </row>
    <row r="617" spans="2:15" x14ac:dyDescent="0.55000000000000004">
      <c r="B617" t="s">
        <v>639</v>
      </c>
      <c r="C617" t="s">
        <v>14</v>
      </c>
      <c r="D617">
        <v>45</v>
      </c>
      <c r="E617" s="16" t="s">
        <v>6</v>
      </c>
      <c r="F617" s="17">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t="str">
        <f>_xlfn.XLOOKUP(calls[[#This Row],[Customer ID]],customers[Customer ID],customers[City])</f>
        <v>Cleveland</v>
      </c>
      <c r="N617">
        <f>_xlfn.XLOOKUP(calls[[#This Row],[Customer ID]],customers[Customer ID],customers[Age])</f>
        <v>37</v>
      </c>
      <c r="O617" t="str">
        <f>_xlfn.XLOOKUP(calls[[#This Row],[Customer ID]],customers[Customer ID],customers[Gender])</f>
        <v>Female</v>
      </c>
    </row>
    <row r="618" spans="2:15" x14ac:dyDescent="0.55000000000000004">
      <c r="B618" t="s">
        <v>640</v>
      </c>
      <c r="C618" t="s">
        <v>7</v>
      </c>
      <c r="D618">
        <v>114</v>
      </c>
      <c r="E618" s="16" t="s">
        <v>13</v>
      </c>
      <c r="F618" s="17">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t="str">
        <f>_xlfn.XLOOKUP(calls[[#This Row],[Customer ID]],customers[Customer ID],customers[City])</f>
        <v>Columbus</v>
      </c>
      <c r="N618">
        <f>_xlfn.XLOOKUP(calls[[#This Row],[Customer ID]],customers[Customer ID],customers[Age])</f>
        <v>23</v>
      </c>
      <c r="O618" t="str">
        <f>_xlfn.XLOOKUP(calls[[#This Row],[Customer ID]],customers[Customer ID],customers[Gender])</f>
        <v>Male</v>
      </c>
    </row>
    <row r="619" spans="2:15" x14ac:dyDescent="0.55000000000000004">
      <c r="B619" t="s">
        <v>641</v>
      </c>
      <c r="C619" t="s">
        <v>22</v>
      </c>
      <c r="D619">
        <v>69</v>
      </c>
      <c r="E619" s="16" t="s">
        <v>9</v>
      </c>
      <c r="F619" s="17">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t="str">
        <f>_xlfn.XLOOKUP(calls[[#This Row],[Customer ID]],customers[Customer ID],customers[City])</f>
        <v>Columbus</v>
      </c>
      <c r="N619">
        <f>_xlfn.XLOOKUP(calls[[#This Row],[Customer ID]],customers[Customer ID],customers[Age])</f>
        <v>25</v>
      </c>
      <c r="O619" t="str">
        <f>_xlfn.XLOOKUP(calls[[#This Row],[Customer ID]],customers[Customer ID],customers[Gender])</f>
        <v>Female</v>
      </c>
    </row>
    <row r="620" spans="2:15" x14ac:dyDescent="0.55000000000000004">
      <c r="B620" t="s">
        <v>642</v>
      </c>
      <c r="C620" t="s">
        <v>5</v>
      </c>
      <c r="D620">
        <v>33</v>
      </c>
      <c r="E620" s="16" t="s">
        <v>11</v>
      </c>
      <c r="F620" s="17">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t="str">
        <f>_xlfn.XLOOKUP(calls[[#This Row],[Customer ID]],customers[Customer ID],customers[City])</f>
        <v>Cleveland</v>
      </c>
      <c r="N620">
        <f>_xlfn.XLOOKUP(calls[[#This Row],[Customer ID]],customers[Customer ID],customers[Age])</f>
        <v>42</v>
      </c>
      <c r="O620" t="str">
        <f>_xlfn.XLOOKUP(calls[[#This Row],[Customer ID]],customers[Customer ID],customers[Gender])</f>
        <v>Female</v>
      </c>
    </row>
    <row r="621" spans="2:15" x14ac:dyDescent="0.55000000000000004">
      <c r="B621" t="s">
        <v>643</v>
      </c>
      <c r="C621" t="s">
        <v>12</v>
      </c>
      <c r="D621">
        <v>31</v>
      </c>
      <c r="E621" s="16" t="s">
        <v>10</v>
      </c>
      <c r="F621" s="17">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t="str">
        <f>_xlfn.XLOOKUP(calls[[#This Row],[Customer ID]],customers[Customer ID],customers[City])</f>
        <v>Cincinnati</v>
      </c>
      <c r="N621">
        <f>_xlfn.XLOOKUP(calls[[#This Row],[Customer ID]],customers[Customer ID],customers[Age])</f>
        <v>36</v>
      </c>
      <c r="O621" t="str">
        <f>_xlfn.XLOOKUP(calls[[#This Row],[Customer ID]],customers[Customer ID],customers[Gender])</f>
        <v>Male</v>
      </c>
    </row>
    <row r="622" spans="2:15" x14ac:dyDescent="0.55000000000000004">
      <c r="B622" t="s">
        <v>644</v>
      </c>
      <c r="C622" t="s">
        <v>14</v>
      </c>
      <c r="D622">
        <v>168</v>
      </c>
      <c r="E622" s="16" t="s">
        <v>11</v>
      </c>
      <c r="F622" s="17">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t="str">
        <f>_xlfn.XLOOKUP(calls[[#This Row],[Customer ID]],customers[Customer ID],customers[City])</f>
        <v>Cleveland</v>
      </c>
      <c r="N622">
        <f>_xlfn.XLOOKUP(calls[[#This Row],[Customer ID]],customers[Customer ID],customers[Age])</f>
        <v>37</v>
      </c>
      <c r="O622" t="str">
        <f>_xlfn.XLOOKUP(calls[[#This Row],[Customer ID]],customers[Customer ID],customers[Gender])</f>
        <v>Female</v>
      </c>
    </row>
    <row r="623" spans="2:15" x14ac:dyDescent="0.55000000000000004">
      <c r="B623" t="s">
        <v>645</v>
      </c>
      <c r="C623" t="s">
        <v>23</v>
      </c>
      <c r="D623">
        <v>111</v>
      </c>
      <c r="E623" s="16" t="s">
        <v>13</v>
      </c>
      <c r="F623" s="17">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t="str">
        <f>_xlfn.XLOOKUP(calls[[#This Row],[Customer ID]],customers[Customer ID],customers[City])</f>
        <v>Columbus</v>
      </c>
      <c r="N623">
        <f>_xlfn.XLOOKUP(calls[[#This Row],[Customer ID]],customers[Customer ID],customers[Age])</f>
        <v>37</v>
      </c>
      <c r="O623" t="str">
        <f>_xlfn.XLOOKUP(calls[[#This Row],[Customer ID]],customers[Customer ID],customers[Gender])</f>
        <v>Male</v>
      </c>
    </row>
    <row r="624" spans="2:15" x14ac:dyDescent="0.55000000000000004">
      <c r="B624" t="s">
        <v>646</v>
      </c>
      <c r="C624" t="s">
        <v>12</v>
      </c>
      <c r="D624">
        <v>80</v>
      </c>
      <c r="E624" s="16" t="s">
        <v>11</v>
      </c>
      <c r="F624" s="17">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t="str">
        <f>_xlfn.XLOOKUP(calls[[#This Row],[Customer ID]],customers[Customer ID],customers[City])</f>
        <v>Cincinnati</v>
      </c>
      <c r="N624">
        <f>_xlfn.XLOOKUP(calls[[#This Row],[Customer ID]],customers[Customer ID],customers[Age])</f>
        <v>36</v>
      </c>
      <c r="O624" t="str">
        <f>_xlfn.XLOOKUP(calls[[#This Row],[Customer ID]],customers[Customer ID],customers[Gender])</f>
        <v>Male</v>
      </c>
    </row>
    <row r="625" spans="2:15" x14ac:dyDescent="0.55000000000000004">
      <c r="B625" t="s">
        <v>647</v>
      </c>
      <c r="C625" t="s">
        <v>20</v>
      </c>
      <c r="D625">
        <v>37</v>
      </c>
      <c r="E625" s="16" t="s">
        <v>11</v>
      </c>
      <c r="F625" s="17">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t="str">
        <f>_xlfn.XLOOKUP(calls[[#This Row],[Customer ID]],customers[Customer ID],customers[City])</f>
        <v>Cincinnati</v>
      </c>
      <c r="N625">
        <f>_xlfn.XLOOKUP(calls[[#This Row],[Customer ID]],customers[Customer ID],customers[Age])</f>
        <v>26</v>
      </c>
      <c r="O625" t="str">
        <f>_xlfn.XLOOKUP(calls[[#This Row],[Customer ID]],customers[Customer ID],customers[Gender])</f>
        <v>Male</v>
      </c>
    </row>
    <row r="626" spans="2:15" x14ac:dyDescent="0.55000000000000004">
      <c r="B626" t="s">
        <v>648</v>
      </c>
      <c r="C626" t="s">
        <v>17</v>
      </c>
      <c r="D626">
        <v>137</v>
      </c>
      <c r="E626" s="16" t="s">
        <v>11</v>
      </c>
      <c r="F626" s="17">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t="str">
        <f>_xlfn.XLOOKUP(calls[[#This Row],[Customer ID]],customers[Customer ID],customers[City])</f>
        <v>Columbus</v>
      </c>
      <c r="N626">
        <f>_xlfn.XLOOKUP(calls[[#This Row],[Customer ID]],customers[Customer ID],customers[Age])</f>
        <v>41</v>
      </c>
      <c r="O626" t="str">
        <f>_xlfn.XLOOKUP(calls[[#This Row],[Customer ID]],customers[Customer ID],customers[Gender])</f>
        <v>Male</v>
      </c>
    </row>
    <row r="627" spans="2:15" x14ac:dyDescent="0.55000000000000004">
      <c r="B627" t="s">
        <v>649</v>
      </c>
      <c r="C627" t="s">
        <v>22</v>
      </c>
      <c r="D627">
        <v>123</v>
      </c>
      <c r="E627" s="16" t="s">
        <v>13</v>
      </c>
      <c r="F627" s="17">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t="str">
        <f>_xlfn.XLOOKUP(calls[[#This Row],[Customer ID]],customers[Customer ID],customers[City])</f>
        <v>Columbus</v>
      </c>
      <c r="N627">
        <f>_xlfn.XLOOKUP(calls[[#This Row],[Customer ID]],customers[Customer ID],customers[Age])</f>
        <v>25</v>
      </c>
      <c r="O627" t="str">
        <f>_xlfn.XLOOKUP(calls[[#This Row],[Customer ID]],customers[Customer ID],customers[Gender])</f>
        <v>Female</v>
      </c>
    </row>
    <row r="628" spans="2:15" x14ac:dyDescent="0.55000000000000004">
      <c r="B628" t="s">
        <v>650</v>
      </c>
      <c r="C628" t="s">
        <v>16</v>
      </c>
      <c r="D628">
        <v>105</v>
      </c>
      <c r="E628" s="16" t="s">
        <v>13</v>
      </c>
      <c r="F628" s="17">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t="str">
        <f>_xlfn.XLOOKUP(calls[[#This Row],[Customer ID]],customers[Customer ID],customers[City])</f>
        <v>Cincinnati</v>
      </c>
      <c r="N628">
        <f>_xlfn.XLOOKUP(calls[[#This Row],[Customer ID]],customers[Customer ID],customers[Age])</f>
        <v>28</v>
      </c>
      <c r="O628" t="str">
        <f>_xlfn.XLOOKUP(calls[[#This Row],[Customer ID]],customers[Customer ID],customers[Gender])</f>
        <v>Female</v>
      </c>
    </row>
    <row r="629" spans="2:15" x14ac:dyDescent="0.55000000000000004">
      <c r="B629" t="s">
        <v>651</v>
      </c>
      <c r="C629" t="s">
        <v>20</v>
      </c>
      <c r="D629">
        <v>76</v>
      </c>
      <c r="E629" s="16" t="s">
        <v>6</v>
      </c>
      <c r="F629" s="17">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t="str">
        <f>_xlfn.XLOOKUP(calls[[#This Row],[Customer ID]],customers[Customer ID],customers[City])</f>
        <v>Cincinnati</v>
      </c>
      <c r="N629">
        <f>_xlfn.XLOOKUP(calls[[#This Row],[Customer ID]],customers[Customer ID],customers[Age])</f>
        <v>26</v>
      </c>
      <c r="O629" t="str">
        <f>_xlfn.XLOOKUP(calls[[#This Row],[Customer ID]],customers[Customer ID],customers[Gender])</f>
        <v>Male</v>
      </c>
    </row>
    <row r="630" spans="2:15" x14ac:dyDescent="0.55000000000000004">
      <c r="B630" t="s">
        <v>652</v>
      </c>
      <c r="C630" t="s">
        <v>12</v>
      </c>
      <c r="D630">
        <v>144</v>
      </c>
      <c r="E630" s="16" t="s">
        <v>6</v>
      </c>
      <c r="F630" s="17">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t="str">
        <f>_xlfn.XLOOKUP(calls[[#This Row],[Customer ID]],customers[Customer ID],customers[City])</f>
        <v>Cincinnati</v>
      </c>
      <c r="N630">
        <f>_xlfn.XLOOKUP(calls[[#This Row],[Customer ID]],customers[Customer ID],customers[Age])</f>
        <v>36</v>
      </c>
      <c r="O630" t="str">
        <f>_xlfn.XLOOKUP(calls[[#This Row],[Customer ID]],customers[Customer ID],customers[Gender])</f>
        <v>Male</v>
      </c>
    </row>
    <row r="631" spans="2:15" x14ac:dyDescent="0.55000000000000004">
      <c r="B631" t="s">
        <v>653</v>
      </c>
      <c r="C631" t="s">
        <v>5</v>
      </c>
      <c r="D631">
        <v>109</v>
      </c>
      <c r="E631" s="16" t="s">
        <v>10</v>
      </c>
      <c r="F631" s="17">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t="str">
        <f>_xlfn.XLOOKUP(calls[[#This Row],[Customer ID]],customers[Customer ID],customers[City])</f>
        <v>Cleveland</v>
      </c>
      <c r="N631">
        <f>_xlfn.XLOOKUP(calls[[#This Row],[Customer ID]],customers[Customer ID],customers[Age])</f>
        <v>42</v>
      </c>
      <c r="O631" t="str">
        <f>_xlfn.XLOOKUP(calls[[#This Row],[Customer ID]],customers[Customer ID],customers[Gender])</f>
        <v>Female</v>
      </c>
    </row>
    <row r="632" spans="2:15" x14ac:dyDescent="0.55000000000000004">
      <c r="B632" t="s">
        <v>654</v>
      </c>
      <c r="C632" t="s">
        <v>22</v>
      </c>
      <c r="D632">
        <v>172</v>
      </c>
      <c r="E632" s="16" t="s">
        <v>11</v>
      </c>
      <c r="F632" s="17">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t="str">
        <f>_xlfn.XLOOKUP(calls[[#This Row],[Customer ID]],customers[Customer ID],customers[City])</f>
        <v>Columbus</v>
      </c>
      <c r="N632">
        <f>_xlfn.XLOOKUP(calls[[#This Row],[Customer ID]],customers[Customer ID],customers[Age])</f>
        <v>25</v>
      </c>
      <c r="O632" t="str">
        <f>_xlfn.XLOOKUP(calls[[#This Row],[Customer ID]],customers[Customer ID],customers[Gender])</f>
        <v>Female</v>
      </c>
    </row>
    <row r="633" spans="2:15" x14ac:dyDescent="0.55000000000000004">
      <c r="B633" t="s">
        <v>655</v>
      </c>
      <c r="C633" t="s">
        <v>12</v>
      </c>
      <c r="D633">
        <v>56</v>
      </c>
      <c r="E633" s="16" t="s">
        <v>13</v>
      </c>
      <c r="F633" s="17">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t="str">
        <f>_xlfn.XLOOKUP(calls[[#This Row],[Customer ID]],customers[Customer ID],customers[City])</f>
        <v>Cincinnati</v>
      </c>
      <c r="N633">
        <f>_xlfn.XLOOKUP(calls[[#This Row],[Customer ID]],customers[Customer ID],customers[Age])</f>
        <v>36</v>
      </c>
      <c r="O633" t="str">
        <f>_xlfn.XLOOKUP(calls[[#This Row],[Customer ID]],customers[Customer ID],customers[Gender])</f>
        <v>Male</v>
      </c>
    </row>
    <row r="634" spans="2:15" x14ac:dyDescent="0.55000000000000004">
      <c r="B634" t="s">
        <v>656</v>
      </c>
      <c r="C634" t="s">
        <v>12</v>
      </c>
      <c r="D634">
        <v>121</v>
      </c>
      <c r="E634" s="16" t="s">
        <v>9</v>
      </c>
      <c r="F634" s="17">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t="str">
        <f>_xlfn.XLOOKUP(calls[[#This Row],[Customer ID]],customers[Customer ID],customers[City])</f>
        <v>Cincinnati</v>
      </c>
      <c r="N634">
        <f>_xlfn.XLOOKUP(calls[[#This Row],[Customer ID]],customers[Customer ID],customers[Age])</f>
        <v>36</v>
      </c>
      <c r="O634" t="str">
        <f>_xlfn.XLOOKUP(calls[[#This Row],[Customer ID]],customers[Customer ID],customers[Gender])</f>
        <v>Male</v>
      </c>
    </row>
    <row r="635" spans="2:15" x14ac:dyDescent="0.55000000000000004">
      <c r="B635" t="s">
        <v>657</v>
      </c>
      <c r="C635" t="s">
        <v>22</v>
      </c>
      <c r="D635">
        <v>41</v>
      </c>
      <c r="E635" s="16" t="s">
        <v>13</v>
      </c>
      <c r="F635" s="17">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t="str">
        <f>_xlfn.XLOOKUP(calls[[#This Row],[Customer ID]],customers[Customer ID],customers[City])</f>
        <v>Columbus</v>
      </c>
      <c r="N635">
        <f>_xlfn.XLOOKUP(calls[[#This Row],[Customer ID]],customers[Customer ID],customers[Age])</f>
        <v>25</v>
      </c>
      <c r="O635" t="str">
        <f>_xlfn.XLOOKUP(calls[[#This Row],[Customer ID]],customers[Customer ID],customers[Gender])</f>
        <v>Female</v>
      </c>
    </row>
    <row r="636" spans="2:15" x14ac:dyDescent="0.55000000000000004">
      <c r="B636" t="s">
        <v>658</v>
      </c>
      <c r="C636" t="s">
        <v>21</v>
      </c>
      <c r="D636">
        <v>60</v>
      </c>
      <c r="E636" s="16" t="s">
        <v>11</v>
      </c>
      <c r="F636" s="17">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t="str">
        <f>_xlfn.XLOOKUP(calls[[#This Row],[Customer ID]],customers[Customer ID],customers[City])</f>
        <v>Columbus</v>
      </c>
      <c r="N636">
        <f>_xlfn.XLOOKUP(calls[[#This Row],[Customer ID]],customers[Customer ID],customers[Age])</f>
        <v>38</v>
      </c>
      <c r="O636" t="str">
        <f>_xlfn.XLOOKUP(calls[[#This Row],[Customer ID]],customers[Customer ID],customers[Gender])</f>
        <v>Female</v>
      </c>
    </row>
    <row r="637" spans="2:15" x14ac:dyDescent="0.55000000000000004">
      <c r="B637" t="s">
        <v>659</v>
      </c>
      <c r="C637" t="s">
        <v>21</v>
      </c>
      <c r="D637">
        <v>144</v>
      </c>
      <c r="E637" s="16" t="s">
        <v>11</v>
      </c>
      <c r="F637" s="17">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t="str">
        <f>_xlfn.XLOOKUP(calls[[#This Row],[Customer ID]],customers[Customer ID],customers[City])</f>
        <v>Columbus</v>
      </c>
      <c r="N637">
        <f>_xlfn.XLOOKUP(calls[[#This Row],[Customer ID]],customers[Customer ID],customers[Age])</f>
        <v>38</v>
      </c>
      <c r="O637" t="str">
        <f>_xlfn.XLOOKUP(calls[[#This Row],[Customer ID]],customers[Customer ID],customers[Gender])</f>
        <v>Female</v>
      </c>
    </row>
    <row r="638" spans="2:15" x14ac:dyDescent="0.55000000000000004">
      <c r="B638" t="s">
        <v>660</v>
      </c>
      <c r="C638" t="s">
        <v>8</v>
      </c>
      <c r="D638">
        <v>67</v>
      </c>
      <c r="E638" s="16" t="s">
        <v>11</v>
      </c>
      <c r="F638" s="17">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t="str">
        <f>_xlfn.XLOOKUP(calls[[#This Row],[Customer ID]],customers[Customer ID],customers[City])</f>
        <v>Cincinnati</v>
      </c>
      <c r="N638">
        <f>_xlfn.XLOOKUP(calls[[#This Row],[Customer ID]],customers[Customer ID],customers[Age])</f>
        <v>30</v>
      </c>
      <c r="O638" t="str">
        <f>_xlfn.XLOOKUP(calls[[#This Row],[Customer ID]],customers[Customer ID],customers[Gender])</f>
        <v>Female</v>
      </c>
    </row>
    <row r="639" spans="2:15" x14ac:dyDescent="0.55000000000000004">
      <c r="B639" t="s">
        <v>661</v>
      </c>
      <c r="C639" t="s">
        <v>22</v>
      </c>
      <c r="D639">
        <v>162</v>
      </c>
      <c r="E639" s="16" t="s">
        <v>10</v>
      </c>
      <c r="F639" s="17">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t="str">
        <f>_xlfn.XLOOKUP(calls[[#This Row],[Customer ID]],customers[Customer ID],customers[City])</f>
        <v>Columbus</v>
      </c>
      <c r="N639">
        <f>_xlfn.XLOOKUP(calls[[#This Row],[Customer ID]],customers[Customer ID],customers[Age])</f>
        <v>25</v>
      </c>
      <c r="O639" t="str">
        <f>_xlfn.XLOOKUP(calls[[#This Row],[Customer ID]],customers[Customer ID],customers[Gender])</f>
        <v>Female</v>
      </c>
    </row>
    <row r="640" spans="2:15" x14ac:dyDescent="0.55000000000000004">
      <c r="B640" t="s">
        <v>662</v>
      </c>
      <c r="C640" t="s">
        <v>21</v>
      </c>
      <c r="D640">
        <v>87</v>
      </c>
      <c r="E640" s="16" t="s">
        <v>9</v>
      </c>
      <c r="F640" s="17">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t="str">
        <f>_xlfn.XLOOKUP(calls[[#This Row],[Customer ID]],customers[Customer ID],customers[City])</f>
        <v>Columbus</v>
      </c>
      <c r="N640">
        <f>_xlfn.XLOOKUP(calls[[#This Row],[Customer ID]],customers[Customer ID],customers[Age])</f>
        <v>38</v>
      </c>
      <c r="O640" t="str">
        <f>_xlfn.XLOOKUP(calls[[#This Row],[Customer ID]],customers[Customer ID],customers[Gender])</f>
        <v>Female</v>
      </c>
    </row>
    <row r="641" spans="2:15" x14ac:dyDescent="0.55000000000000004">
      <c r="B641" t="s">
        <v>663</v>
      </c>
      <c r="C641" t="s">
        <v>19</v>
      </c>
      <c r="D641">
        <v>10</v>
      </c>
      <c r="E641" s="16" t="s">
        <v>6</v>
      </c>
      <c r="F641" s="17">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t="str">
        <f>_xlfn.XLOOKUP(calls[[#This Row],[Customer ID]],customers[Customer ID],customers[City])</f>
        <v>Cleveland</v>
      </c>
      <c r="N641">
        <f>_xlfn.XLOOKUP(calls[[#This Row],[Customer ID]],customers[Customer ID],customers[Age])</f>
        <v>43</v>
      </c>
      <c r="O641" t="str">
        <f>_xlfn.XLOOKUP(calls[[#This Row],[Customer ID]],customers[Customer ID],customers[Gender])</f>
        <v>Female</v>
      </c>
    </row>
    <row r="642" spans="2:15" x14ac:dyDescent="0.55000000000000004">
      <c r="B642" t="s">
        <v>664</v>
      </c>
      <c r="C642" t="s">
        <v>12</v>
      </c>
      <c r="D642">
        <v>138</v>
      </c>
      <c r="E642" s="16" t="s">
        <v>6</v>
      </c>
      <c r="F642" s="17">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t="str">
        <f>_xlfn.XLOOKUP(calls[[#This Row],[Customer ID]],customers[Customer ID],customers[City])</f>
        <v>Cincinnati</v>
      </c>
      <c r="N642">
        <f>_xlfn.XLOOKUP(calls[[#This Row],[Customer ID]],customers[Customer ID],customers[Age])</f>
        <v>36</v>
      </c>
      <c r="O642" t="str">
        <f>_xlfn.XLOOKUP(calls[[#This Row],[Customer ID]],customers[Customer ID],customers[Gender])</f>
        <v>Male</v>
      </c>
    </row>
    <row r="643" spans="2:15" x14ac:dyDescent="0.55000000000000004">
      <c r="B643" t="s">
        <v>665</v>
      </c>
      <c r="C643" t="s">
        <v>22</v>
      </c>
      <c r="D643">
        <v>31</v>
      </c>
      <c r="E643" s="16" t="s">
        <v>6</v>
      </c>
      <c r="F643" s="17">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t="str">
        <f>_xlfn.XLOOKUP(calls[[#This Row],[Customer ID]],customers[Customer ID],customers[City])</f>
        <v>Columbus</v>
      </c>
      <c r="N643">
        <f>_xlfn.XLOOKUP(calls[[#This Row],[Customer ID]],customers[Customer ID],customers[Age])</f>
        <v>25</v>
      </c>
      <c r="O643" t="str">
        <f>_xlfn.XLOOKUP(calls[[#This Row],[Customer ID]],customers[Customer ID],customers[Gender])</f>
        <v>Female</v>
      </c>
    </row>
    <row r="644" spans="2:15" x14ac:dyDescent="0.55000000000000004">
      <c r="B644" t="s">
        <v>666</v>
      </c>
      <c r="C644" t="s">
        <v>16</v>
      </c>
      <c r="D644">
        <v>75</v>
      </c>
      <c r="E644" s="16" t="s">
        <v>10</v>
      </c>
      <c r="F644" s="17">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t="str">
        <f>_xlfn.XLOOKUP(calls[[#This Row],[Customer ID]],customers[Customer ID],customers[City])</f>
        <v>Cincinnati</v>
      </c>
      <c r="N644">
        <f>_xlfn.XLOOKUP(calls[[#This Row],[Customer ID]],customers[Customer ID],customers[Age])</f>
        <v>28</v>
      </c>
      <c r="O644" t="str">
        <f>_xlfn.XLOOKUP(calls[[#This Row],[Customer ID]],customers[Customer ID],customers[Gender])</f>
        <v>Female</v>
      </c>
    </row>
    <row r="645" spans="2:15" x14ac:dyDescent="0.55000000000000004">
      <c r="B645" t="s">
        <v>667</v>
      </c>
      <c r="C645" t="s">
        <v>20</v>
      </c>
      <c r="D645">
        <v>65</v>
      </c>
      <c r="E645" s="16" t="s">
        <v>10</v>
      </c>
      <c r="F645" s="17">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t="str">
        <f>_xlfn.XLOOKUP(calls[[#This Row],[Customer ID]],customers[Customer ID],customers[City])</f>
        <v>Cincinnati</v>
      </c>
      <c r="N645">
        <f>_xlfn.XLOOKUP(calls[[#This Row],[Customer ID]],customers[Customer ID],customers[Age])</f>
        <v>26</v>
      </c>
      <c r="O645" t="str">
        <f>_xlfn.XLOOKUP(calls[[#This Row],[Customer ID]],customers[Customer ID],customers[Gender])</f>
        <v>Male</v>
      </c>
    </row>
    <row r="646" spans="2:15" x14ac:dyDescent="0.55000000000000004">
      <c r="B646" t="s">
        <v>668</v>
      </c>
      <c r="C646" t="s">
        <v>23</v>
      </c>
      <c r="D646">
        <v>106</v>
      </c>
      <c r="E646" s="16" t="s">
        <v>13</v>
      </c>
      <c r="F646" s="17">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t="str">
        <f>_xlfn.XLOOKUP(calls[[#This Row],[Customer ID]],customers[Customer ID],customers[City])</f>
        <v>Columbus</v>
      </c>
      <c r="N646">
        <f>_xlfn.XLOOKUP(calls[[#This Row],[Customer ID]],customers[Customer ID],customers[Age])</f>
        <v>37</v>
      </c>
      <c r="O646" t="str">
        <f>_xlfn.XLOOKUP(calls[[#This Row],[Customer ID]],customers[Customer ID],customers[Gender])</f>
        <v>Male</v>
      </c>
    </row>
    <row r="647" spans="2:15" x14ac:dyDescent="0.55000000000000004">
      <c r="B647" t="s">
        <v>669</v>
      </c>
      <c r="C647" t="s">
        <v>20</v>
      </c>
      <c r="D647">
        <v>107</v>
      </c>
      <c r="E647" s="16" t="s">
        <v>13</v>
      </c>
      <c r="F647" s="17">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t="str">
        <f>_xlfn.XLOOKUP(calls[[#This Row],[Customer ID]],customers[Customer ID],customers[City])</f>
        <v>Cincinnati</v>
      </c>
      <c r="N647">
        <f>_xlfn.XLOOKUP(calls[[#This Row],[Customer ID]],customers[Customer ID],customers[Age])</f>
        <v>26</v>
      </c>
      <c r="O647" t="str">
        <f>_xlfn.XLOOKUP(calls[[#This Row],[Customer ID]],customers[Customer ID],customers[Gender])</f>
        <v>Male</v>
      </c>
    </row>
    <row r="648" spans="2:15" x14ac:dyDescent="0.55000000000000004">
      <c r="B648" t="s">
        <v>670</v>
      </c>
      <c r="C648" t="s">
        <v>17</v>
      </c>
      <c r="D648">
        <v>78</v>
      </c>
      <c r="E648" s="16" t="s">
        <v>13</v>
      </c>
      <c r="F648" s="17">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t="str">
        <f>_xlfn.XLOOKUP(calls[[#This Row],[Customer ID]],customers[Customer ID],customers[City])</f>
        <v>Columbus</v>
      </c>
      <c r="N648">
        <f>_xlfn.XLOOKUP(calls[[#This Row],[Customer ID]],customers[Customer ID],customers[Age])</f>
        <v>41</v>
      </c>
      <c r="O648" t="str">
        <f>_xlfn.XLOOKUP(calls[[#This Row],[Customer ID]],customers[Customer ID],customers[Gender])</f>
        <v>Male</v>
      </c>
    </row>
    <row r="649" spans="2:15" x14ac:dyDescent="0.55000000000000004">
      <c r="B649" t="s">
        <v>671</v>
      </c>
      <c r="C649" t="s">
        <v>24</v>
      </c>
      <c r="D649">
        <v>122</v>
      </c>
      <c r="E649" s="16" t="s">
        <v>13</v>
      </c>
      <c r="F649" s="17">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t="str">
        <f>_xlfn.XLOOKUP(calls[[#This Row],[Customer ID]],customers[Customer ID],customers[City])</f>
        <v>Cleveland</v>
      </c>
      <c r="N649">
        <f>_xlfn.XLOOKUP(calls[[#This Row],[Customer ID]],customers[Customer ID],customers[Age])</f>
        <v>31</v>
      </c>
      <c r="O649" t="str">
        <f>_xlfn.XLOOKUP(calls[[#This Row],[Customer ID]],customers[Customer ID],customers[Gender])</f>
        <v>Male</v>
      </c>
    </row>
    <row r="650" spans="2:15" x14ac:dyDescent="0.55000000000000004">
      <c r="B650" t="s">
        <v>672</v>
      </c>
      <c r="C650" t="s">
        <v>12</v>
      </c>
      <c r="D650">
        <v>58</v>
      </c>
      <c r="E650" s="16" t="s">
        <v>6</v>
      </c>
      <c r="F650" s="17">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t="str">
        <f>_xlfn.XLOOKUP(calls[[#This Row],[Customer ID]],customers[Customer ID],customers[City])</f>
        <v>Cincinnati</v>
      </c>
      <c r="N650">
        <f>_xlfn.XLOOKUP(calls[[#This Row],[Customer ID]],customers[Customer ID],customers[Age])</f>
        <v>36</v>
      </c>
      <c r="O650" t="str">
        <f>_xlfn.XLOOKUP(calls[[#This Row],[Customer ID]],customers[Customer ID],customers[Gender])</f>
        <v>Male</v>
      </c>
    </row>
    <row r="651" spans="2:15" x14ac:dyDescent="0.55000000000000004">
      <c r="B651" t="s">
        <v>673</v>
      </c>
      <c r="C651" t="s">
        <v>17</v>
      </c>
      <c r="D651">
        <v>33</v>
      </c>
      <c r="E651" s="16" t="s">
        <v>11</v>
      </c>
      <c r="F651" s="17">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t="str">
        <f>_xlfn.XLOOKUP(calls[[#This Row],[Customer ID]],customers[Customer ID],customers[City])</f>
        <v>Columbus</v>
      </c>
      <c r="N651">
        <f>_xlfn.XLOOKUP(calls[[#This Row],[Customer ID]],customers[Customer ID],customers[Age])</f>
        <v>41</v>
      </c>
      <c r="O651" t="str">
        <f>_xlfn.XLOOKUP(calls[[#This Row],[Customer ID]],customers[Customer ID],customers[Gender])</f>
        <v>Male</v>
      </c>
    </row>
    <row r="652" spans="2:15" x14ac:dyDescent="0.55000000000000004">
      <c r="B652" t="s">
        <v>674</v>
      </c>
      <c r="C652" t="s">
        <v>5</v>
      </c>
      <c r="D652">
        <v>164</v>
      </c>
      <c r="E652" s="16" t="s">
        <v>10</v>
      </c>
      <c r="F652" s="17">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t="str">
        <f>_xlfn.XLOOKUP(calls[[#This Row],[Customer ID]],customers[Customer ID],customers[City])</f>
        <v>Cleveland</v>
      </c>
      <c r="N652">
        <f>_xlfn.XLOOKUP(calls[[#This Row],[Customer ID]],customers[Customer ID],customers[Age])</f>
        <v>42</v>
      </c>
      <c r="O652" t="str">
        <f>_xlfn.XLOOKUP(calls[[#This Row],[Customer ID]],customers[Customer ID],customers[Gender])</f>
        <v>Female</v>
      </c>
    </row>
    <row r="653" spans="2:15" x14ac:dyDescent="0.55000000000000004">
      <c r="B653" t="s">
        <v>675</v>
      </c>
      <c r="C653" t="s">
        <v>16</v>
      </c>
      <c r="D653">
        <v>163</v>
      </c>
      <c r="E653" s="16" t="s">
        <v>9</v>
      </c>
      <c r="F653" s="17">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t="str">
        <f>_xlfn.XLOOKUP(calls[[#This Row],[Customer ID]],customers[Customer ID],customers[City])</f>
        <v>Cincinnati</v>
      </c>
      <c r="N653">
        <f>_xlfn.XLOOKUP(calls[[#This Row],[Customer ID]],customers[Customer ID],customers[Age])</f>
        <v>28</v>
      </c>
      <c r="O653" t="str">
        <f>_xlfn.XLOOKUP(calls[[#This Row],[Customer ID]],customers[Customer ID],customers[Gender])</f>
        <v>Female</v>
      </c>
    </row>
    <row r="654" spans="2:15" x14ac:dyDescent="0.55000000000000004">
      <c r="B654" t="s">
        <v>676</v>
      </c>
      <c r="C654" t="s">
        <v>15</v>
      </c>
      <c r="D654">
        <v>71</v>
      </c>
      <c r="E654" s="16" t="s">
        <v>10</v>
      </c>
      <c r="F654" s="17">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t="str">
        <f>_xlfn.XLOOKUP(calls[[#This Row],[Customer ID]],customers[Customer ID],customers[City])</f>
        <v>Cleveland</v>
      </c>
      <c r="N654">
        <f>_xlfn.XLOOKUP(calls[[#This Row],[Customer ID]],customers[Customer ID],customers[Age])</f>
        <v>22</v>
      </c>
      <c r="O654" t="str">
        <f>_xlfn.XLOOKUP(calls[[#This Row],[Customer ID]],customers[Customer ID],customers[Gender])</f>
        <v>Female</v>
      </c>
    </row>
    <row r="655" spans="2:15" x14ac:dyDescent="0.55000000000000004">
      <c r="B655" t="s">
        <v>677</v>
      </c>
      <c r="C655" t="s">
        <v>17</v>
      </c>
      <c r="D655">
        <v>103</v>
      </c>
      <c r="E655" s="16" t="s">
        <v>6</v>
      </c>
      <c r="F655" s="17">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t="str">
        <f>_xlfn.XLOOKUP(calls[[#This Row],[Customer ID]],customers[Customer ID],customers[City])</f>
        <v>Columbus</v>
      </c>
      <c r="N655">
        <f>_xlfn.XLOOKUP(calls[[#This Row],[Customer ID]],customers[Customer ID],customers[Age])</f>
        <v>41</v>
      </c>
      <c r="O655" t="str">
        <f>_xlfn.XLOOKUP(calls[[#This Row],[Customer ID]],customers[Customer ID],customers[Gender])</f>
        <v>Male</v>
      </c>
    </row>
    <row r="656" spans="2:15" x14ac:dyDescent="0.55000000000000004">
      <c r="B656" t="s">
        <v>678</v>
      </c>
      <c r="C656" t="s">
        <v>7</v>
      </c>
      <c r="D656">
        <v>69</v>
      </c>
      <c r="E656" s="16" t="s">
        <v>9</v>
      </c>
      <c r="F656" s="17">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t="str">
        <f>_xlfn.XLOOKUP(calls[[#This Row],[Customer ID]],customers[Customer ID],customers[City])</f>
        <v>Columbus</v>
      </c>
      <c r="N656">
        <f>_xlfn.XLOOKUP(calls[[#This Row],[Customer ID]],customers[Customer ID],customers[Age])</f>
        <v>23</v>
      </c>
      <c r="O656" t="str">
        <f>_xlfn.XLOOKUP(calls[[#This Row],[Customer ID]],customers[Customer ID],customers[Gender])</f>
        <v>Male</v>
      </c>
    </row>
    <row r="657" spans="2:15" x14ac:dyDescent="0.55000000000000004">
      <c r="B657" t="s">
        <v>679</v>
      </c>
      <c r="C657" t="s">
        <v>16</v>
      </c>
      <c r="D657">
        <v>111</v>
      </c>
      <c r="E657" s="16" t="s">
        <v>6</v>
      </c>
      <c r="F657" s="17">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t="str">
        <f>_xlfn.XLOOKUP(calls[[#This Row],[Customer ID]],customers[Customer ID],customers[City])</f>
        <v>Cincinnati</v>
      </c>
      <c r="N657">
        <f>_xlfn.XLOOKUP(calls[[#This Row],[Customer ID]],customers[Customer ID],customers[Age])</f>
        <v>28</v>
      </c>
      <c r="O657" t="str">
        <f>_xlfn.XLOOKUP(calls[[#This Row],[Customer ID]],customers[Customer ID],customers[Gender])</f>
        <v>Female</v>
      </c>
    </row>
    <row r="658" spans="2:15" x14ac:dyDescent="0.55000000000000004">
      <c r="B658" t="s">
        <v>680</v>
      </c>
      <c r="C658" t="s">
        <v>18</v>
      </c>
      <c r="D658">
        <v>97</v>
      </c>
      <c r="E658" s="16" t="s">
        <v>9</v>
      </c>
      <c r="F658" s="17">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t="str">
        <f>_xlfn.XLOOKUP(calls[[#This Row],[Customer ID]],customers[Customer ID],customers[City])</f>
        <v>Cleveland</v>
      </c>
      <c r="N658">
        <f>_xlfn.XLOOKUP(calls[[#This Row],[Customer ID]],customers[Customer ID],customers[Age])</f>
        <v>30</v>
      </c>
      <c r="O658" t="str">
        <f>_xlfn.XLOOKUP(calls[[#This Row],[Customer ID]],customers[Customer ID],customers[Gender])</f>
        <v>Female</v>
      </c>
    </row>
    <row r="659" spans="2:15" x14ac:dyDescent="0.55000000000000004">
      <c r="B659" t="s">
        <v>681</v>
      </c>
      <c r="C659" t="s">
        <v>14</v>
      </c>
      <c r="D659">
        <v>144</v>
      </c>
      <c r="E659" s="16" t="s">
        <v>13</v>
      </c>
      <c r="F659" s="17">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t="str">
        <f>_xlfn.XLOOKUP(calls[[#This Row],[Customer ID]],customers[Customer ID],customers[City])</f>
        <v>Cleveland</v>
      </c>
      <c r="N659">
        <f>_xlfn.XLOOKUP(calls[[#This Row],[Customer ID]],customers[Customer ID],customers[Age])</f>
        <v>37</v>
      </c>
      <c r="O659" t="str">
        <f>_xlfn.XLOOKUP(calls[[#This Row],[Customer ID]],customers[Customer ID],customers[Gender])</f>
        <v>Female</v>
      </c>
    </row>
    <row r="660" spans="2:15" x14ac:dyDescent="0.55000000000000004">
      <c r="B660" t="s">
        <v>682</v>
      </c>
      <c r="C660" t="s">
        <v>23</v>
      </c>
      <c r="D660">
        <v>56</v>
      </c>
      <c r="E660" s="16" t="s">
        <v>9</v>
      </c>
      <c r="F660" s="17">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t="str">
        <f>_xlfn.XLOOKUP(calls[[#This Row],[Customer ID]],customers[Customer ID],customers[City])</f>
        <v>Columbus</v>
      </c>
      <c r="N660">
        <f>_xlfn.XLOOKUP(calls[[#This Row],[Customer ID]],customers[Customer ID],customers[Age])</f>
        <v>37</v>
      </c>
      <c r="O660" t="str">
        <f>_xlfn.XLOOKUP(calls[[#This Row],[Customer ID]],customers[Customer ID],customers[Gender])</f>
        <v>Male</v>
      </c>
    </row>
    <row r="661" spans="2:15" x14ac:dyDescent="0.55000000000000004">
      <c r="B661" t="s">
        <v>683</v>
      </c>
      <c r="C661" t="s">
        <v>14</v>
      </c>
      <c r="D661">
        <v>132</v>
      </c>
      <c r="E661" s="16" t="s">
        <v>13</v>
      </c>
      <c r="F661" s="17">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t="str">
        <f>_xlfn.XLOOKUP(calls[[#This Row],[Customer ID]],customers[Customer ID],customers[City])</f>
        <v>Cleveland</v>
      </c>
      <c r="N661">
        <f>_xlfn.XLOOKUP(calls[[#This Row],[Customer ID]],customers[Customer ID],customers[Age])</f>
        <v>37</v>
      </c>
      <c r="O661" t="str">
        <f>_xlfn.XLOOKUP(calls[[#This Row],[Customer ID]],customers[Customer ID],customers[Gender])</f>
        <v>Female</v>
      </c>
    </row>
    <row r="662" spans="2:15" x14ac:dyDescent="0.55000000000000004">
      <c r="B662" t="s">
        <v>684</v>
      </c>
      <c r="C662" t="s">
        <v>15</v>
      </c>
      <c r="D662">
        <v>72</v>
      </c>
      <c r="E662" s="16" t="s">
        <v>11</v>
      </c>
      <c r="F662" s="17">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t="str">
        <f>_xlfn.XLOOKUP(calls[[#This Row],[Customer ID]],customers[Customer ID],customers[City])</f>
        <v>Cleveland</v>
      </c>
      <c r="N662">
        <f>_xlfn.XLOOKUP(calls[[#This Row],[Customer ID]],customers[Customer ID],customers[Age])</f>
        <v>22</v>
      </c>
      <c r="O662" t="str">
        <f>_xlfn.XLOOKUP(calls[[#This Row],[Customer ID]],customers[Customer ID],customers[Gender])</f>
        <v>Female</v>
      </c>
    </row>
    <row r="663" spans="2:15" x14ac:dyDescent="0.55000000000000004">
      <c r="B663" t="s">
        <v>685</v>
      </c>
      <c r="C663" t="s">
        <v>16</v>
      </c>
      <c r="D663">
        <v>18</v>
      </c>
      <c r="E663" s="16" t="s">
        <v>11</v>
      </c>
      <c r="F663" s="17">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t="str">
        <f>_xlfn.XLOOKUP(calls[[#This Row],[Customer ID]],customers[Customer ID],customers[City])</f>
        <v>Cincinnati</v>
      </c>
      <c r="N663">
        <f>_xlfn.XLOOKUP(calls[[#This Row],[Customer ID]],customers[Customer ID],customers[Age])</f>
        <v>28</v>
      </c>
      <c r="O663" t="str">
        <f>_xlfn.XLOOKUP(calls[[#This Row],[Customer ID]],customers[Customer ID],customers[Gender])</f>
        <v>Female</v>
      </c>
    </row>
    <row r="664" spans="2:15" x14ac:dyDescent="0.55000000000000004">
      <c r="B664" t="s">
        <v>686</v>
      </c>
      <c r="C664" t="s">
        <v>8</v>
      </c>
      <c r="D664">
        <v>115</v>
      </c>
      <c r="E664" s="16" t="s">
        <v>6</v>
      </c>
      <c r="F664" s="17">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t="str">
        <f>_xlfn.XLOOKUP(calls[[#This Row],[Customer ID]],customers[Customer ID],customers[City])</f>
        <v>Cincinnati</v>
      </c>
      <c r="N664">
        <f>_xlfn.XLOOKUP(calls[[#This Row],[Customer ID]],customers[Customer ID],customers[Age])</f>
        <v>30</v>
      </c>
      <c r="O664" t="str">
        <f>_xlfn.XLOOKUP(calls[[#This Row],[Customer ID]],customers[Customer ID],customers[Gender])</f>
        <v>Female</v>
      </c>
    </row>
    <row r="665" spans="2:15" x14ac:dyDescent="0.55000000000000004">
      <c r="B665" t="s">
        <v>687</v>
      </c>
      <c r="C665" t="s">
        <v>8</v>
      </c>
      <c r="D665">
        <v>124</v>
      </c>
      <c r="E665" s="16" t="s">
        <v>9</v>
      </c>
      <c r="F665" s="17">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t="str">
        <f>_xlfn.XLOOKUP(calls[[#This Row],[Customer ID]],customers[Customer ID],customers[City])</f>
        <v>Cincinnati</v>
      </c>
      <c r="N665">
        <f>_xlfn.XLOOKUP(calls[[#This Row],[Customer ID]],customers[Customer ID],customers[Age])</f>
        <v>30</v>
      </c>
      <c r="O665" t="str">
        <f>_xlfn.XLOOKUP(calls[[#This Row],[Customer ID]],customers[Customer ID],customers[Gender])</f>
        <v>Female</v>
      </c>
    </row>
    <row r="666" spans="2:15" x14ac:dyDescent="0.55000000000000004">
      <c r="B666" t="s">
        <v>688</v>
      </c>
      <c r="C666" t="s">
        <v>12</v>
      </c>
      <c r="D666">
        <v>130</v>
      </c>
      <c r="E666" s="16" t="s">
        <v>9</v>
      </c>
      <c r="F666" s="17">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t="str">
        <f>_xlfn.XLOOKUP(calls[[#This Row],[Customer ID]],customers[Customer ID],customers[City])</f>
        <v>Cincinnati</v>
      </c>
      <c r="N666">
        <f>_xlfn.XLOOKUP(calls[[#This Row],[Customer ID]],customers[Customer ID],customers[Age])</f>
        <v>36</v>
      </c>
      <c r="O666" t="str">
        <f>_xlfn.XLOOKUP(calls[[#This Row],[Customer ID]],customers[Customer ID],customers[Gender])</f>
        <v>Male</v>
      </c>
    </row>
    <row r="667" spans="2:15" x14ac:dyDescent="0.55000000000000004">
      <c r="B667" t="s">
        <v>689</v>
      </c>
      <c r="C667" t="s">
        <v>19</v>
      </c>
      <c r="D667">
        <v>120</v>
      </c>
      <c r="E667" s="16" t="s">
        <v>10</v>
      </c>
      <c r="F667" s="17">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t="str">
        <f>_xlfn.XLOOKUP(calls[[#This Row],[Customer ID]],customers[Customer ID],customers[City])</f>
        <v>Cleveland</v>
      </c>
      <c r="N667">
        <f>_xlfn.XLOOKUP(calls[[#This Row],[Customer ID]],customers[Customer ID],customers[Age])</f>
        <v>43</v>
      </c>
      <c r="O667" t="str">
        <f>_xlfn.XLOOKUP(calls[[#This Row],[Customer ID]],customers[Customer ID],customers[Gender])</f>
        <v>Female</v>
      </c>
    </row>
    <row r="668" spans="2:15" x14ac:dyDescent="0.55000000000000004">
      <c r="B668" t="s">
        <v>690</v>
      </c>
      <c r="C668" t="s">
        <v>18</v>
      </c>
      <c r="D668">
        <v>75</v>
      </c>
      <c r="E668" s="16" t="s">
        <v>6</v>
      </c>
      <c r="F668" s="17">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t="str">
        <f>_xlfn.XLOOKUP(calls[[#This Row],[Customer ID]],customers[Customer ID],customers[City])</f>
        <v>Cleveland</v>
      </c>
      <c r="N668">
        <f>_xlfn.XLOOKUP(calls[[#This Row],[Customer ID]],customers[Customer ID],customers[Age])</f>
        <v>30</v>
      </c>
      <c r="O668" t="str">
        <f>_xlfn.XLOOKUP(calls[[#This Row],[Customer ID]],customers[Customer ID],customers[Gender])</f>
        <v>Female</v>
      </c>
    </row>
    <row r="669" spans="2:15" x14ac:dyDescent="0.55000000000000004">
      <c r="B669" t="s">
        <v>691</v>
      </c>
      <c r="C669" t="s">
        <v>20</v>
      </c>
      <c r="D669">
        <v>63</v>
      </c>
      <c r="E669" s="16" t="s">
        <v>6</v>
      </c>
      <c r="F669" s="17">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t="str">
        <f>_xlfn.XLOOKUP(calls[[#This Row],[Customer ID]],customers[Customer ID],customers[City])</f>
        <v>Cincinnati</v>
      </c>
      <c r="N669">
        <f>_xlfn.XLOOKUP(calls[[#This Row],[Customer ID]],customers[Customer ID],customers[Age])</f>
        <v>26</v>
      </c>
      <c r="O669" t="str">
        <f>_xlfn.XLOOKUP(calls[[#This Row],[Customer ID]],customers[Customer ID],customers[Gender])</f>
        <v>Male</v>
      </c>
    </row>
    <row r="670" spans="2:15" x14ac:dyDescent="0.55000000000000004">
      <c r="B670" t="s">
        <v>692</v>
      </c>
      <c r="C670" t="s">
        <v>14</v>
      </c>
      <c r="D670">
        <v>74</v>
      </c>
      <c r="E670" s="16" t="s">
        <v>6</v>
      </c>
      <c r="F670" s="17">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t="str">
        <f>_xlfn.XLOOKUP(calls[[#This Row],[Customer ID]],customers[Customer ID],customers[City])</f>
        <v>Cleveland</v>
      </c>
      <c r="N670">
        <f>_xlfn.XLOOKUP(calls[[#This Row],[Customer ID]],customers[Customer ID],customers[Age])</f>
        <v>37</v>
      </c>
      <c r="O670" t="str">
        <f>_xlfn.XLOOKUP(calls[[#This Row],[Customer ID]],customers[Customer ID],customers[Gender])</f>
        <v>Female</v>
      </c>
    </row>
    <row r="671" spans="2:15" x14ac:dyDescent="0.55000000000000004">
      <c r="B671" t="s">
        <v>693</v>
      </c>
      <c r="C671" t="s">
        <v>7</v>
      </c>
      <c r="D671">
        <v>134</v>
      </c>
      <c r="E671" s="16" t="s">
        <v>13</v>
      </c>
      <c r="F671" s="17">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t="str">
        <f>_xlfn.XLOOKUP(calls[[#This Row],[Customer ID]],customers[Customer ID],customers[City])</f>
        <v>Columbus</v>
      </c>
      <c r="N671">
        <f>_xlfn.XLOOKUP(calls[[#This Row],[Customer ID]],customers[Customer ID],customers[Age])</f>
        <v>23</v>
      </c>
      <c r="O671" t="str">
        <f>_xlfn.XLOOKUP(calls[[#This Row],[Customer ID]],customers[Customer ID],customers[Gender])</f>
        <v>Male</v>
      </c>
    </row>
    <row r="672" spans="2:15" x14ac:dyDescent="0.55000000000000004">
      <c r="B672" t="s">
        <v>694</v>
      </c>
      <c r="C672" t="s">
        <v>16</v>
      </c>
      <c r="D672">
        <v>103</v>
      </c>
      <c r="E672" s="16" t="s">
        <v>9</v>
      </c>
      <c r="F672" s="17">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t="str">
        <f>_xlfn.XLOOKUP(calls[[#This Row],[Customer ID]],customers[Customer ID],customers[City])</f>
        <v>Cincinnati</v>
      </c>
      <c r="N672">
        <f>_xlfn.XLOOKUP(calls[[#This Row],[Customer ID]],customers[Customer ID],customers[Age])</f>
        <v>28</v>
      </c>
      <c r="O672" t="str">
        <f>_xlfn.XLOOKUP(calls[[#This Row],[Customer ID]],customers[Customer ID],customers[Gender])</f>
        <v>Female</v>
      </c>
    </row>
    <row r="673" spans="2:15" x14ac:dyDescent="0.55000000000000004">
      <c r="B673" t="s">
        <v>695</v>
      </c>
      <c r="C673" t="s">
        <v>16</v>
      </c>
      <c r="D673">
        <v>155</v>
      </c>
      <c r="E673" s="16" t="s">
        <v>10</v>
      </c>
      <c r="F673" s="17">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t="str">
        <f>_xlfn.XLOOKUP(calls[[#This Row],[Customer ID]],customers[Customer ID],customers[City])</f>
        <v>Cincinnati</v>
      </c>
      <c r="N673">
        <f>_xlfn.XLOOKUP(calls[[#This Row],[Customer ID]],customers[Customer ID],customers[Age])</f>
        <v>28</v>
      </c>
      <c r="O673" t="str">
        <f>_xlfn.XLOOKUP(calls[[#This Row],[Customer ID]],customers[Customer ID],customers[Gender])</f>
        <v>Female</v>
      </c>
    </row>
    <row r="674" spans="2:15" x14ac:dyDescent="0.55000000000000004">
      <c r="B674" t="s">
        <v>696</v>
      </c>
      <c r="C674" t="s">
        <v>20</v>
      </c>
      <c r="D674">
        <v>128</v>
      </c>
      <c r="E674" s="16" t="s">
        <v>9</v>
      </c>
      <c r="F674" s="17">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t="str">
        <f>_xlfn.XLOOKUP(calls[[#This Row],[Customer ID]],customers[Customer ID],customers[City])</f>
        <v>Cincinnati</v>
      </c>
      <c r="N674">
        <f>_xlfn.XLOOKUP(calls[[#This Row],[Customer ID]],customers[Customer ID],customers[Age])</f>
        <v>26</v>
      </c>
      <c r="O674" t="str">
        <f>_xlfn.XLOOKUP(calls[[#This Row],[Customer ID]],customers[Customer ID],customers[Gender])</f>
        <v>Male</v>
      </c>
    </row>
    <row r="675" spans="2:15" x14ac:dyDescent="0.55000000000000004">
      <c r="B675" t="s">
        <v>697</v>
      </c>
      <c r="C675" t="s">
        <v>18</v>
      </c>
      <c r="D675">
        <v>89</v>
      </c>
      <c r="E675" s="16" t="s">
        <v>13</v>
      </c>
      <c r="F675" s="17">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t="str">
        <f>_xlfn.XLOOKUP(calls[[#This Row],[Customer ID]],customers[Customer ID],customers[City])</f>
        <v>Cleveland</v>
      </c>
      <c r="N675">
        <f>_xlfn.XLOOKUP(calls[[#This Row],[Customer ID]],customers[Customer ID],customers[Age])</f>
        <v>30</v>
      </c>
      <c r="O675" t="str">
        <f>_xlfn.XLOOKUP(calls[[#This Row],[Customer ID]],customers[Customer ID],customers[Gender])</f>
        <v>Female</v>
      </c>
    </row>
    <row r="676" spans="2:15" x14ac:dyDescent="0.55000000000000004">
      <c r="B676" t="s">
        <v>698</v>
      </c>
      <c r="C676" t="s">
        <v>8</v>
      </c>
      <c r="D676">
        <v>81</v>
      </c>
      <c r="E676" s="16" t="s">
        <v>10</v>
      </c>
      <c r="F676" s="17">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t="str">
        <f>_xlfn.XLOOKUP(calls[[#This Row],[Customer ID]],customers[Customer ID],customers[City])</f>
        <v>Cincinnati</v>
      </c>
      <c r="N676">
        <f>_xlfn.XLOOKUP(calls[[#This Row],[Customer ID]],customers[Customer ID],customers[Age])</f>
        <v>30</v>
      </c>
      <c r="O676" t="str">
        <f>_xlfn.XLOOKUP(calls[[#This Row],[Customer ID]],customers[Customer ID],customers[Gender])</f>
        <v>Female</v>
      </c>
    </row>
    <row r="677" spans="2:15" x14ac:dyDescent="0.55000000000000004">
      <c r="B677" t="s">
        <v>699</v>
      </c>
      <c r="C677" t="s">
        <v>18</v>
      </c>
      <c r="D677">
        <v>66</v>
      </c>
      <c r="E677" s="16" t="s">
        <v>13</v>
      </c>
      <c r="F677" s="17">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t="str">
        <f>_xlfn.XLOOKUP(calls[[#This Row],[Customer ID]],customers[Customer ID],customers[City])</f>
        <v>Cleveland</v>
      </c>
      <c r="N677">
        <f>_xlfn.XLOOKUP(calls[[#This Row],[Customer ID]],customers[Customer ID],customers[Age])</f>
        <v>30</v>
      </c>
      <c r="O677" t="str">
        <f>_xlfn.XLOOKUP(calls[[#This Row],[Customer ID]],customers[Customer ID],customers[Gender])</f>
        <v>Female</v>
      </c>
    </row>
    <row r="678" spans="2:15" x14ac:dyDescent="0.55000000000000004">
      <c r="B678" t="s">
        <v>700</v>
      </c>
      <c r="C678" t="s">
        <v>15</v>
      </c>
      <c r="D678">
        <v>61</v>
      </c>
      <c r="E678" s="16" t="s">
        <v>11</v>
      </c>
      <c r="F678" s="17">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t="str">
        <f>_xlfn.XLOOKUP(calls[[#This Row],[Customer ID]],customers[Customer ID],customers[City])</f>
        <v>Cleveland</v>
      </c>
      <c r="N678">
        <f>_xlfn.XLOOKUP(calls[[#This Row],[Customer ID]],customers[Customer ID],customers[Age])</f>
        <v>22</v>
      </c>
      <c r="O678" t="str">
        <f>_xlfn.XLOOKUP(calls[[#This Row],[Customer ID]],customers[Customer ID],customers[Gender])</f>
        <v>Female</v>
      </c>
    </row>
    <row r="679" spans="2:15" x14ac:dyDescent="0.55000000000000004">
      <c r="B679" t="s">
        <v>701</v>
      </c>
      <c r="C679" t="s">
        <v>8</v>
      </c>
      <c r="D679">
        <v>128</v>
      </c>
      <c r="E679" s="16" t="s">
        <v>11</v>
      </c>
      <c r="F679" s="17">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t="str">
        <f>_xlfn.XLOOKUP(calls[[#This Row],[Customer ID]],customers[Customer ID],customers[City])</f>
        <v>Cincinnati</v>
      </c>
      <c r="N679">
        <f>_xlfn.XLOOKUP(calls[[#This Row],[Customer ID]],customers[Customer ID],customers[Age])</f>
        <v>30</v>
      </c>
      <c r="O679" t="str">
        <f>_xlfn.XLOOKUP(calls[[#This Row],[Customer ID]],customers[Customer ID],customers[Gender])</f>
        <v>Female</v>
      </c>
    </row>
    <row r="680" spans="2:15" x14ac:dyDescent="0.55000000000000004">
      <c r="B680" t="s">
        <v>702</v>
      </c>
      <c r="C680" t="s">
        <v>16</v>
      </c>
      <c r="D680">
        <v>30</v>
      </c>
      <c r="E680" s="16" t="s">
        <v>10</v>
      </c>
      <c r="F680" s="17">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t="str">
        <f>_xlfn.XLOOKUP(calls[[#This Row],[Customer ID]],customers[Customer ID],customers[City])</f>
        <v>Cincinnati</v>
      </c>
      <c r="N680">
        <f>_xlfn.XLOOKUP(calls[[#This Row],[Customer ID]],customers[Customer ID],customers[Age])</f>
        <v>28</v>
      </c>
      <c r="O680" t="str">
        <f>_xlfn.XLOOKUP(calls[[#This Row],[Customer ID]],customers[Customer ID],customers[Gender])</f>
        <v>Female</v>
      </c>
    </row>
    <row r="681" spans="2:15" x14ac:dyDescent="0.55000000000000004">
      <c r="B681" t="s">
        <v>703</v>
      </c>
      <c r="C681" t="s">
        <v>5</v>
      </c>
      <c r="D681">
        <v>63</v>
      </c>
      <c r="E681" s="16" t="s">
        <v>11</v>
      </c>
      <c r="F681" s="17">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t="str">
        <f>_xlfn.XLOOKUP(calls[[#This Row],[Customer ID]],customers[Customer ID],customers[City])</f>
        <v>Cleveland</v>
      </c>
      <c r="N681">
        <f>_xlfn.XLOOKUP(calls[[#This Row],[Customer ID]],customers[Customer ID],customers[Age])</f>
        <v>42</v>
      </c>
      <c r="O681" t="str">
        <f>_xlfn.XLOOKUP(calls[[#This Row],[Customer ID]],customers[Customer ID],customers[Gender])</f>
        <v>Female</v>
      </c>
    </row>
    <row r="682" spans="2:15" x14ac:dyDescent="0.55000000000000004">
      <c r="B682" t="s">
        <v>704</v>
      </c>
      <c r="C682" t="s">
        <v>24</v>
      </c>
      <c r="D682">
        <v>64</v>
      </c>
      <c r="E682" s="16" t="s">
        <v>6</v>
      </c>
      <c r="F682" s="17">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t="str">
        <f>_xlfn.XLOOKUP(calls[[#This Row],[Customer ID]],customers[Customer ID],customers[City])</f>
        <v>Cleveland</v>
      </c>
      <c r="N682">
        <f>_xlfn.XLOOKUP(calls[[#This Row],[Customer ID]],customers[Customer ID],customers[Age])</f>
        <v>31</v>
      </c>
      <c r="O682" t="str">
        <f>_xlfn.XLOOKUP(calls[[#This Row],[Customer ID]],customers[Customer ID],customers[Gender])</f>
        <v>Male</v>
      </c>
    </row>
    <row r="683" spans="2:15" x14ac:dyDescent="0.55000000000000004">
      <c r="B683" t="s">
        <v>705</v>
      </c>
      <c r="C683" t="s">
        <v>21</v>
      </c>
      <c r="D683">
        <v>151</v>
      </c>
      <c r="E683" s="16" t="s">
        <v>9</v>
      </c>
      <c r="F683" s="17">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t="str">
        <f>_xlfn.XLOOKUP(calls[[#This Row],[Customer ID]],customers[Customer ID],customers[City])</f>
        <v>Columbus</v>
      </c>
      <c r="N683">
        <f>_xlfn.XLOOKUP(calls[[#This Row],[Customer ID]],customers[Customer ID],customers[Age])</f>
        <v>38</v>
      </c>
      <c r="O683" t="str">
        <f>_xlfn.XLOOKUP(calls[[#This Row],[Customer ID]],customers[Customer ID],customers[Gender])</f>
        <v>Female</v>
      </c>
    </row>
    <row r="684" spans="2:15" x14ac:dyDescent="0.55000000000000004">
      <c r="B684" t="s">
        <v>706</v>
      </c>
      <c r="C684" t="s">
        <v>17</v>
      </c>
      <c r="D684">
        <v>116</v>
      </c>
      <c r="E684" s="16" t="s">
        <v>13</v>
      </c>
      <c r="F684" s="17">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t="str">
        <f>_xlfn.XLOOKUP(calls[[#This Row],[Customer ID]],customers[Customer ID],customers[City])</f>
        <v>Columbus</v>
      </c>
      <c r="N684">
        <f>_xlfn.XLOOKUP(calls[[#This Row],[Customer ID]],customers[Customer ID],customers[Age])</f>
        <v>41</v>
      </c>
      <c r="O684" t="str">
        <f>_xlfn.XLOOKUP(calls[[#This Row],[Customer ID]],customers[Customer ID],customers[Gender])</f>
        <v>Male</v>
      </c>
    </row>
    <row r="685" spans="2:15" x14ac:dyDescent="0.55000000000000004">
      <c r="B685" t="s">
        <v>707</v>
      </c>
      <c r="C685" t="s">
        <v>21</v>
      </c>
      <c r="D685">
        <v>111</v>
      </c>
      <c r="E685" s="16" t="s">
        <v>13</v>
      </c>
      <c r="F685" s="17">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t="str">
        <f>_xlfn.XLOOKUP(calls[[#This Row],[Customer ID]],customers[Customer ID],customers[City])</f>
        <v>Columbus</v>
      </c>
      <c r="N685">
        <f>_xlfn.XLOOKUP(calls[[#This Row],[Customer ID]],customers[Customer ID],customers[Age])</f>
        <v>38</v>
      </c>
      <c r="O685" t="str">
        <f>_xlfn.XLOOKUP(calls[[#This Row],[Customer ID]],customers[Customer ID],customers[Gender])</f>
        <v>Female</v>
      </c>
    </row>
    <row r="686" spans="2:15" x14ac:dyDescent="0.55000000000000004">
      <c r="B686" t="s">
        <v>708</v>
      </c>
      <c r="C686" t="s">
        <v>8</v>
      </c>
      <c r="D686">
        <v>15</v>
      </c>
      <c r="E686" s="16" t="s">
        <v>13</v>
      </c>
      <c r="F686" s="17">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t="str">
        <f>_xlfn.XLOOKUP(calls[[#This Row],[Customer ID]],customers[Customer ID],customers[City])</f>
        <v>Cincinnati</v>
      </c>
      <c r="N686">
        <f>_xlfn.XLOOKUP(calls[[#This Row],[Customer ID]],customers[Customer ID],customers[Age])</f>
        <v>30</v>
      </c>
      <c r="O686" t="str">
        <f>_xlfn.XLOOKUP(calls[[#This Row],[Customer ID]],customers[Customer ID],customers[Gender])</f>
        <v>Female</v>
      </c>
    </row>
    <row r="687" spans="2:15" x14ac:dyDescent="0.55000000000000004">
      <c r="B687" t="s">
        <v>709</v>
      </c>
      <c r="C687" t="s">
        <v>24</v>
      </c>
      <c r="D687">
        <v>18</v>
      </c>
      <c r="E687" s="16" t="s">
        <v>9</v>
      </c>
      <c r="F687" s="17">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t="str">
        <f>_xlfn.XLOOKUP(calls[[#This Row],[Customer ID]],customers[Customer ID],customers[City])</f>
        <v>Cleveland</v>
      </c>
      <c r="N687">
        <f>_xlfn.XLOOKUP(calls[[#This Row],[Customer ID]],customers[Customer ID],customers[Age])</f>
        <v>31</v>
      </c>
      <c r="O687" t="str">
        <f>_xlfn.XLOOKUP(calls[[#This Row],[Customer ID]],customers[Customer ID],customers[Gender])</f>
        <v>Male</v>
      </c>
    </row>
    <row r="688" spans="2:15" x14ac:dyDescent="0.55000000000000004">
      <c r="B688" t="s">
        <v>710</v>
      </c>
      <c r="C688" t="s">
        <v>15</v>
      </c>
      <c r="D688">
        <v>146</v>
      </c>
      <c r="E688" s="16" t="s">
        <v>11</v>
      </c>
      <c r="F688" s="17">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t="str">
        <f>_xlfn.XLOOKUP(calls[[#This Row],[Customer ID]],customers[Customer ID],customers[City])</f>
        <v>Cleveland</v>
      </c>
      <c r="N688">
        <f>_xlfn.XLOOKUP(calls[[#This Row],[Customer ID]],customers[Customer ID],customers[Age])</f>
        <v>22</v>
      </c>
      <c r="O688" t="str">
        <f>_xlfn.XLOOKUP(calls[[#This Row],[Customer ID]],customers[Customer ID],customers[Gender])</f>
        <v>Female</v>
      </c>
    </row>
    <row r="689" spans="2:15" x14ac:dyDescent="0.55000000000000004">
      <c r="B689" t="s">
        <v>711</v>
      </c>
      <c r="C689" t="s">
        <v>16</v>
      </c>
      <c r="D689">
        <v>73</v>
      </c>
      <c r="E689" s="16" t="s">
        <v>13</v>
      </c>
      <c r="F689" s="17">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t="str">
        <f>_xlfn.XLOOKUP(calls[[#This Row],[Customer ID]],customers[Customer ID],customers[City])</f>
        <v>Cincinnati</v>
      </c>
      <c r="N689">
        <f>_xlfn.XLOOKUP(calls[[#This Row],[Customer ID]],customers[Customer ID],customers[Age])</f>
        <v>28</v>
      </c>
      <c r="O689" t="str">
        <f>_xlfn.XLOOKUP(calls[[#This Row],[Customer ID]],customers[Customer ID],customers[Gender])</f>
        <v>Female</v>
      </c>
    </row>
    <row r="690" spans="2:15" x14ac:dyDescent="0.55000000000000004">
      <c r="B690" t="s">
        <v>712</v>
      </c>
      <c r="C690" t="s">
        <v>21</v>
      </c>
      <c r="D690">
        <v>108</v>
      </c>
      <c r="E690" s="16" t="s">
        <v>9</v>
      </c>
      <c r="F690" s="17">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t="str">
        <f>_xlfn.XLOOKUP(calls[[#This Row],[Customer ID]],customers[Customer ID],customers[City])</f>
        <v>Columbus</v>
      </c>
      <c r="N690">
        <f>_xlfn.XLOOKUP(calls[[#This Row],[Customer ID]],customers[Customer ID],customers[Age])</f>
        <v>38</v>
      </c>
      <c r="O690" t="str">
        <f>_xlfn.XLOOKUP(calls[[#This Row],[Customer ID]],customers[Customer ID],customers[Gender])</f>
        <v>Female</v>
      </c>
    </row>
    <row r="691" spans="2:15" x14ac:dyDescent="0.55000000000000004">
      <c r="B691" t="s">
        <v>713</v>
      </c>
      <c r="C691" t="s">
        <v>7</v>
      </c>
      <c r="D691">
        <v>52</v>
      </c>
      <c r="E691" s="16" t="s">
        <v>9</v>
      </c>
      <c r="F691" s="17">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t="str">
        <f>_xlfn.XLOOKUP(calls[[#This Row],[Customer ID]],customers[Customer ID],customers[City])</f>
        <v>Columbus</v>
      </c>
      <c r="N691">
        <f>_xlfn.XLOOKUP(calls[[#This Row],[Customer ID]],customers[Customer ID],customers[Age])</f>
        <v>23</v>
      </c>
      <c r="O691" t="str">
        <f>_xlfn.XLOOKUP(calls[[#This Row],[Customer ID]],customers[Customer ID],customers[Gender])</f>
        <v>Male</v>
      </c>
    </row>
    <row r="692" spans="2:15" x14ac:dyDescent="0.55000000000000004">
      <c r="B692" t="s">
        <v>714</v>
      </c>
      <c r="C692" t="s">
        <v>17</v>
      </c>
      <c r="D692">
        <v>165</v>
      </c>
      <c r="E692" s="16" t="s">
        <v>6</v>
      </c>
      <c r="F692" s="17">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t="str">
        <f>_xlfn.XLOOKUP(calls[[#This Row],[Customer ID]],customers[Customer ID],customers[City])</f>
        <v>Columbus</v>
      </c>
      <c r="N692">
        <f>_xlfn.XLOOKUP(calls[[#This Row],[Customer ID]],customers[Customer ID],customers[Age])</f>
        <v>41</v>
      </c>
      <c r="O692" t="str">
        <f>_xlfn.XLOOKUP(calls[[#This Row],[Customer ID]],customers[Customer ID],customers[Gender])</f>
        <v>Male</v>
      </c>
    </row>
    <row r="693" spans="2:15" x14ac:dyDescent="0.55000000000000004">
      <c r="B693" t="s">
        <v>715</v>
      </c>
      <c r="C693" t="s">
        <v>15</v>
      </c>
      <c r="D693">
        <v>104</v>
      </c>
      <c r="E693" s="16" t="s">
        <v>13</v>
      </c>
      <c r="F693" s="17">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t="str">
        <f>_xlfn.XLOOKUP(calls[[#This Row],[Customer ID]],customers[Customer ID],customers[City])</f>
        <v>Cleveland</v>
      </c>
      <c r="N693">
        <f>_xlfn.XLOOKUP(calls[[#This Row],[Customer ID]],customers[Customer ID],customers[Age])</f>
        <v>22</v>
      </c>
      <c r="O693" t="str">
        <f>_xlfn.XLOOKUP(calls[[#This Row],[Customer ID]],customers[Customer ID],customers[Gender])</f>
        <v>Female</v>
      </c>
    </row>
    <row r="694" spans="2:15" x14ac:dyDescent="0.55000000000000004">
      <c r="B694" t="s">
        <v>716</v>
      </c>
      <c r="C694" t="s">
        <v>16</v>
      </c>
      <c r="D694">
        <v>131</v>
      </c>
      <c r="E694" s="16" t="s">
        <v>11</v>
      </c>
      <c r="F694" s="17">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t="str">
        <f>_xlfn.XLOOKUP(calls[[#This Row],[Customer ID]],customers[Customer ID],customers[City])</f>
        <v>Cincinnati</v>
      </c>
      <c r="N694">
        <f>_xlfn.XLOOKUP(calls[[#This Row],[Customer ID]],customers[Customer ID],customers[Age])</f>
        <v>28</v>
      </c>
      <c r="O694" t="str">
        <f>_xlfn.XLOOKUP(calls[[#This Row],[Customer ID]],customers[Customer ID],customers[Gender])</f>
        <v>Female</v>
      </c>
    </row>
    <row r="695" spans="2:15" x14ac:dyDescent="0.55000000000000004">
      <c r="B695" t="s">
        <v>717</v>
      </c>
      <c r="C695" t="s">
        <v>19</v>
      </c>
      <c r="D695">
        <v>80</v>
      </c>
      <c r="E695" s="16" t="s">
        <v>6</v>
      </c>
      <c r="F695" s="17">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t="str">
        <f>_xlfn.XLOOKUP(calls[[#This Row],[Customer ID]],customers[Customer ID],customers[City])</f>
        <v>Cleveland</v>
      </c>
      <c r="N695">
        <f>_xlfn.XLOOKUP(calls[[#This Row],[Customer ID]],customers[Customer ID],customers[Age])</f>
        <v>43</v>
      </c>
      <c r="O695" t="str">
        <f>_xlfn.XLOOKUP(calls[[#This Row],[Customer ID]],customers[Customer ID],customers[Gender])</f>
        <v>Female</v>
      </c>
    </row>
    <row r="696" spans="2:15" x14ac:dyDescent="0.55000000000000004">
      <c r="B696" t="s">
        <v>718</v>
      </c>
      <c r="C696" t="s">
        <v>8</v>
      </c>
      <c r="D696">
        <v>49</v>
      </c>
      <c r="E696" s="16" t="s">
        <v>13</v>
      </c>
      <c r="F696" s="17">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t="str">
        <f>_xlfn.XLOOKUP(calls[[#This Row],[Customer ID]],customers[Customer ID],customers[City])</f>
        <v>Cincinnati</v>
      </c>
      <c r="N696">
        <f>_xlfn.XLOOKUP(calls[[#This Row],[Customer ID]],customers[Customer ID],customers[Age])</f>
        <v>30</v>
      </c>
      <c r="O696" t="str">
        <f>_xlfn.XLOOKUP(calls[[#This Row],[Customer ID]],customers[Customer ID],customers[Gender])</f>
        <v>Female</v>
      </c>
    </row>
    <row r="697" spans="2:15" x14ac:dyDescent="0.55000000000000004">
      <c r="B697" t="s">
        <v>719</v>
      </c>
      <c r="C697" t="s">
        <v>17</v>
      </c>
      <c r="D697">
        <v>73</v>
      </c>
      <c r="E697" s="16" t="s">
        <v>13</v>
      </c>
      <c r="F697" s="17">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t="str">
        <f>_xlfn.XLOOKUP(calls[[#This Row],[Customer ID]],customers[Customer ID],customers[City])</f>
        <v>Columbus</v>
      </c>
      <c r="N697">
        <f>_xlfn.XLOOKUP(calls[[#This Row],[Customer ID]],customers[Customer ID],customers[Age])</f>
        <v>41</v>
      </c>
      <c r="O697" t="str">
        <f>_xlfn.XLOOKUP(calls[[#This Row],[Customer ID]],customers[Customer ID],customers[Gender])</f>
        <v>Male</v>
      </c>
    </row>
    <row r="698" spans="2:15" x14ac:dyDescent="0.55000000000000004">
      <c r="B698" t="s">
        <v>720</v>
      </c>
      <c r="C698" t="s">
        <v>15</v>
      </c>
      <c r="D698">
        <v>117</v>
      </c>
      <c r="E698" s="16" t="s">
        <v>6</v>
      </c>
      <c r="F698" s="17">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t="str">
        <f>_xlfn.XLOOKUP(calls[[#This Row],[Customer ID]],customers[Customer ID],customers[City])</f>
        <v>Cleveland</v>
      </c>
      <c r="N698">
        <f>_xlfn.XLOOKUP(calls[[#This Row],[Customer ID]],customers[Customer ID],customers[Age])</f>
        <v>22</v>
      </c>
      <c r="O698" t="str">
        <f>_xlfn.XLOOKUP(calls[[#This Row],[Customer ID]],customers[Customer ID],customers[Gender])</f>
        <v>Female</v>
      </c>
    </row>
    <row r="699" spans="2:15" x14ac:dyDescent="0.55000000000000004">
      <c r="B699" t="s">
        <v>721</v>
      </c>
      <c r="C699" t="s">
        <v>23</v>
      </c>
      <c r="D699">
        <v>38</v>
      </c>
      <c r="E699" s="16" t="s">
        <v>10</v>
      </c>
      <c r="F699" s="17">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t="str">
        <f>_xlfn.XLOOKUP(calls[[#This Row],[Customer ID]],customers[Customer ID],customers[City])</f>
        <v>Columbus</v>
      </c>
      <c r="N699">
        <f>_xlfn.XLOOKUP(calls[[#This Row],[Customer ID]],customers[Customer ID],customers[Age])</f>
        <v>37</v>
      </c>
      <c r="O699" t="str">
        <f>_xlfn.XLOOKUP(calls[[#This Row],[Customer ID]],customers[Customer ID],customers[Gender])</f>
        <v>Male</v>
      </c>
    </row>
    <row r="700" spans="2:15" x14ac:dyDescent="0.55000000000000004">
      <c r="B700" t="s">
        <v>722</v>
      </c>
      <c r="C700" t="s">
        <v>7</v>
      </c>
      <c r="D700">
        <v>109</v>
      </c>
      <c r="E700" s="16" t="s">
        <v>6</v>
      </c>
      <c r="F700" s="17">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t="str">
        <f>_xlfn.XLOOKUP(calls[[#This Row],[Customer ID]],customers[Customer ID],customers[City])</f>
        <v>Columbus</v>
      </c>
      <c r="N700">
        <f>_xlfn.XLOOKUP(calls[[#This Row],[Customer ID]],customers[Customer ID],customers[Age])</f>
        <v>23</v>
      </c>
      <c r="O700" t="str">
        <f>_xlfn.XLOOKUP(calls[[#This Row],[Customer ID]],customers[Customer ID],customers[Gender])</f>
        <v>Male</v>
      </c>
    </row>
    <row r="701" spans="2:15" x14ac:dyDescent="0.55000000000000004">
      <c r="B701" t="s">
        <v>723</v>
      </c>
      <c r="C701" t="s">
        <v>8</v>
      </c>
      <c r="D701">
        <v>70</v>
      </c>
      <c r="E701" s="16" t="s">
        <v>9</v>
      </c>
      <c r="F701" s="17">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t="str">
        <f>_xlfn.XLOOKUP(calls[[#This Row],[Customer ID]],customers[Customer ID],customers[City])</f>
        <v>Cincinnati</v>
      </c>
      <c r="N701">
        <f>_xlfn.XLOOKUP(calls[[#This Row],[Customer ID]],customers[Customer ID],customers[Age])</f>
        <v>30</v>
      </c>
      <c r="O701" t="str">
        <f>_xlfn.XLOOKUP(calls[[#This Row],[Customer ID]],customers[Customer ID],customers[Gender])</f>
        <v>Female</v>
      </c>
    </row>
    <row r="702" spans="2:15" x14ac:dyDescent="0.55000000000000004">
      <c r="B702" t="s">
        <v>724</v>
      </c>
      <c r="C702" t="s">
        <v>12</v>
      </c>
      <c r="D702">
        <v>51</v>
      </c>
      <c r="E702" s="16" t="s">
        <v>10</v>
      </c>
      <c r="F702" s="17">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t="str">
        <f>_xlfn.XLOOKUP(calls[[#This Row],[Customer ID]],customers[Customer ID],customers[City])</f>
        <v>Cincinnati</v>
      </c>
      <c r="N702">
        <f>_xlfn.XLOOKUP(calls[[#This Row],[Customer ID]],customers[Customer ID],customers[Age])</f>
        <v>36</v>
      </c>
      <c r="O702" t="str">
        <f>_xlfn.XLOOKUP(calls[[#This Row],[Customer ID]],customers[Customer ID],customers[Gender])</f>
        <v>Male</v>
      </c>
    </row>
    <row r="703" spans="2:15" x14ac:dyDescent="0.55000000000000004">
      <c r="B703" t="s">
        <v>725</v>
      </c>
      <c r="C703" t="s">
        <v>12</v>
      </c>
      <c r="D703">
        <v>100</v>
      </c>
      <c r="E703" s="16" t="s">
        <v>9</v>
      </c>
      <c r="F703" s="17">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t="str">
        <f>_xlfn.XLOOKUP(calls[[#This Row],[Customer ID]],customers[Customer ID],customers[City])</f>
        <v>Cincinnati</v>
      </c>
      <c r="N703">
        <f>_xlfn.XLOOKUP(calls[[#This Row],[Customer ID]],customers[Customer ID],customers[Age])</f>
        <v>36</v>
      </c>
      <c r="O703" t="str">
        <f>_xlfn.XLOOKUP(calls[[#This Row],[Customer ID]],customers[Customer ID],customers[Gender])</f>
        <v>Male</v>
      </c>
    </row>
    <row r="704" spans="2:15" x14ac:dyDescent="0.55000000000000004">
      <c r="B704" t="s">
        <v>726</v>
      </c>
      <c r="C704" t="s">
        <v>14</v>
      </c>
      <c r="D704">
        <v>124</v>
      </c>
      <c r="E704" s="16" t="s">
        <v>10</v>
      </c>
      <c r="F704" s="17">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t="str">
        <f>_xlfn.XLOOKUP(calls[[#This Row],[Customer ID]],customers[Customer ID],customers[City])</f>
        <v>Cleveland</v>
      </c>
      <c r="N704">
        <f>_xlfn.XLOOKUP(calls[[#This Row],[Customer ID]],customers[Customer ID],customers[Age])</f>
        <v>37</v>
      </c>
      <c r="O704" t="str">
        <f>_xlfn.XLOOKUP(calls[[#This Row],[Customer ID]],customers[Customer ID],customers[Gender])</f>
        <v>Female</v>
      </c>
    </row>
    <row r="705" spans="2:15" x14ac:dyDescent="0.55000000000000004">
      <c r="B705" t="s">
        <v>727</v>
      </c>
      <c r="C705" t="s">
        <v>20</v>
      </c>
      <c r="D705">
        <v>143</v>
      </c>
      <c r="E705" s="16" t="s">
        <v>6</v>
      </c>
      <c r="F705" s="17">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t="str">
        <f>_xlfn.XLOOKUP(calls[[#This Row],[Customer ID]],customers[Customer ID],customers[City])</f>
        <v>Cincinnati</v>
      </c>
      <c r="N705">
        <f>_xlfn.XLOOKUP(calls[[#This Row],[Customer ID]],customers[Customer ID],customers[Age])</f>
        <v>26</v>
      </c>
      <c r="O705" t="str">
        <f>_xlfn.XLOOKUP(calls[[#This Row],[Customer ID]],customers[Customer ID],customers[Gender])</f>
        <v>Male</v>
      </c>
    </row>
    <row r="706" spans="2:15" x14ac:dyDescent="0.55000000000000004">
      <c r="B706" t="s">
        <v>728</v>
      </c>
      <c r="C706" t="s">
        <v>18</v>
      </c>
      <c r="D706">
        <v>96</v>
      </c>
      <c r="E706" s="16" t="s">
        <v>13</v>
      </c>
      <c r="F706" s="17">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t="str">
        <f>_xlfn.XLOOKUP(calls[[#This Row],[Customer ID]],customers[Customer ID],customers[City])</f>
        <v>Cleveland</v>
      </c>
      <c r="N706">
        <f>_xlfn.XLOOKUP(calls[[#This Row],[Customer ID]],customers[Customer ID],customers[Age])</f>
        <v>30</v>
      </c>
      <c r="O706" t="str">
        <f>_xlfn.XLOOKUP(calls[[#This Row],[Customer ID]],customers[Customer ID],customers[Gender])</f>
        <v>Female</v>
      </c>
    </row>
    <row r="707" spans="2:15" x14ac:dyDescent="0.55000000000000004">
      <c r="B707" t="s">
        <v>729</v>
      </c>
      <c r="C707" t="s">
        <v>17</v>
      </c>
      <c r="D707">
        <v>84</v>
      </c>
      <c r="E707" s="16" t="s">
        <v>9</v>
      </c>
      <c r="F707" s="17">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t="str">
        <f>_xlfn.XLOOKUP(calls[[#This Row],[Customer ID]],customers[Customer ID],customers[City])</f>
        <v>Columbus</v>
      </c>
      <c r="N707">
        <f>_xlfn.XLOOKUP(calls[[#This Row],[Customer ID]],customers[Customer ID],customers[Age])</f>
        <v>41</v>
      </c>
      <c r="O707" t="str">
        <f>_xlfn.XLOOKUP(calls[[#This Row],[Customer ID]],customers[Customer ID],customers[Gender])</f>
        <v>Male</v>
      </c>
    </row>
    <row r="708" spans="2:15" x14ac:dyDescent="0.55000000000000004">
      <c r="B708" t="s">
        <v>730</v>
      </c>
      <c r="C708" t="s">
        <v>22</v>
      </c>
      <c r="D708">
        <v>111</v>
      </c>
      <c r="E708" s="16" t="s">
        <v>9</v>
      </c>
      <c r="F708" s="17">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t="str">
        <f>_xlfn.XLOOKUP(calls[[#This Row],[Customer ID]],customers[Customer ID],customers[City])</f>
        <v>Columbus</v>
      </c>
      <c r="N708">
        <f>_xlfn.XLOOKUP(calls[[#This Row],[Customer ID]],customers[Customer ID],customers[Age])</f>
        <v>25</v>
      </c>
      <c r="O708" t="str">
        <f>_xlfn.XLOOKUP(calls[[#This Row],[Customer ID]],customers[Customer ID],customers[Gender])</f>
        <v>Female</v>
      </c>
    </row>
    <row r="709" spans="2:15" x14ac:dyDescent="0.55000000000000004">
      <c r="B709" t="s">
        <v>731</v>
      </c>
      <c r="C709" t="s">
        <v>22</v>
      </c>
      <c r="D709">
        <v>103</v>
      </c>
      <c r="E709" s="16" t="s">
        <v>10</v>
      </c>
      <c r="F709" s="17">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t="str">
        <f>_xlfn.XLOOKUP(calls[[#This Row],[Customer ID]],customers[Customer ID],customers[City])</f>
        <v>Columbus</v>
      </c>
      <c r="N709">
        <f>_xlfn.XLOOKUP(calls[[#This Row],[Customer ID]],customers[Customer ID],customers[Age])</f>
        <v>25</v>
      </c>
      <c r="O709" t="str">
        <f>_xlfn.XLOOKUP(calls[[#This Row],[Customer ID]],customers[Customer ID],customers[Gender])</f>
        <v>Female</v>
      </c>
    </row>
    <row r="710" spans="2:15" x14ac:dyDescent="0.55000000000000004">
      <c r="B710" t="s">
        <v>732</v>
      </c>
      <c r="C710" t="s">
        <v>20</v>
      </c>
      <c r="D710">
        <v>61</v>
      </c>
      <c r="E710" s="16" t="s">
        <v>11</v>
      </c>
      <c r="F710" s="17">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t="str">
        <f>_xlfn.XLOOKUP(calls[[#This Row],[Customer ID]],customers[Customer ID],customers[City])</f>
        <v>Cincinnati</v>
      </c>
      <c r="N710">
        <f>_xlfn.XLOOKUP(calls[[#This Row],[Customer ID]],customers[Customer ID],customers[Age])</f>
        <v>26</v>
      </c>
      <c r="O710" t="str">
        <f>_xlfn.XLOOKUP(calls[[#This Row],[Customer ID]],customers[Customer ID],customers[Gender])</f>
        <v>Male</v>
      </c>
    </row>
    <row r="711" spans="2:15" x14ac:dyDescent="0.55000000000000004">
      <c r="B711" t="s">
        <v>733</v>
      </c>
      <c r="C711" t="s">
        <v>16</v>
      </c>
      <c r="D711">
        <v>113</v>
      </c>
      <c r="E711" s="16" t="s">
        <v>13</v>
      </c>
      <c r="F711" s="17">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t="str">
        <f>_xlfn.XLOOKUP(calls[[#This Row],[Customer ID]],customers[Customer ID],customers[City])</f>
        <v>Cincinnati</v>
      </c>
      <c r="N711">
        <f>_xlfn.XLOOKUP(calls[[#This Row],[Customer ID]],customers[Customer ID],customers[Age])</f>
        <v>28</v>
      </c>
      <c r="O711" t="str">
        <f>_xlfn.XLOOKUP(calls[[#This Row],[Customer ID]],customers[Customer ID],customers[Gender])</f>
        <v>Female</v>
      </c>
    </row>
    <row r="712" spans="2:15" x14ac:dyDescent="0.55000000000000004">
      <c r="B712" t="s">
        <v>734</v>
      </c>
      <c r="C712" t="s">
        <v>16</v>
      </c>
      <c r="D712">
        <v>96</v>
      </c>
      <c r="E712" s="16" t="s">
        <v>13</v>
      </c>
      <c r="F712" s="17">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t="str">
        <f>_xlfn.XLOOKUP(calls[[#This Row],[Customer ID]],customers[Customer ID],customers[City])</f>
        <v>Cincinnati</v>
      </c>
      <c r="N712">
        <f>_xlfn.XLOOKUP(calls[[#This Row],[Customer ID]],customers[Customer ID],customers[Age])</f>
        <v>28</v>
      </c>
      <c r="O712" t="str">
        <f>_xlfn.XLOOKUP(calls[[#This Row],[Customer ID]],customers[Customer ID],customers[Gender])</f>
        <v>Female</v>
      </c>
    </row>
    <row r="713" spans="2:15" x14ac:dyDescent="0.55000000000000004">
      <c r="B713" t="s">
        <v>735</v>
      </c>
      <c r="C713" t="s">
        <v>24</v>
      </c>
      <c r="D713">
        <v>131</v>
      </c>
      <c r="E713" s="16" t="s">
        <v>10</v>
      </c>
      <c r="F713" s="17">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t="str">
        <f>_xlfn.XLOOKUP(calls[[#This Row],[Customer ID]],customers[Customer ID],customers[City])</f>
        <v>Cleveland</v>
      </c>
      <c r="N713">
        <f>_xlfn.XLOOKUP(calls[[#This Row],[Customer ID]],customers[Customer ID],customers[Age])</f>
        <v>31</v>
      </c>
      <c r="O713" t="str">
        <f>_xlfn.XLOOKUP(calls[[#This Row],[Customer ID]],customers[Customer ID],customers[Gender])</f>
        <v>Male</v>
      </c>
    </row>
    <row r="714" spans="2:15" x14ac:dyDescent="0.55000000000000004">
      <c r="B714" t="s">
        <v>736</v>
      </c>
      <c r="C714" t="s">
        <v>15</v>
      </c>
      <c r="D714">
        <v>52</v>
      </c>
      <c r="E714" s="16" t="s">
        <v>13</v>
      </c>
      <c r="F714" s="17">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t="str">
        <f>_xlfn.XLOOKUP(calls[[#This Row],[Customer ID]],customers[Customer ID],customers[City])</f>
        <v>Cleveland</v>
      </c>
      <c r="N714">
        <f>_xlfn.XLOOKUP(calls[[#This Row],[Customer ID]],customers[Customer ID],customers[Age])</f>
        <v>22</v>
      </c>
      <c r="O714" t="str">
        <f>_xlfn.XLOOKUP(calls[[#This Row],[Customer ID]],customers[Customer ID],customers[Gender])</f>
        <v>Female</v>
      </c>
    </row>
    <row r="715" spans="2:15" x14ac:dyDescent="0.55000000000000004">
      <c r="B715" t="s">
        <v>737</v>
      </c>
      <c r="C715" t="s">
        <v>12</v>
      </c>
      <c r="D715">
        <v>100</v>
      </c>
      <c r="E715" s="16" t="s">
        <v>10</v>
      </c>
      <c r="F715" s="17">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t="str">
        <f>_xlfn.XLOOKUP(calls[[#This Row],[Customer ID]],customers[Customer ID],customers[City])</f>
        <v>Cincinnati</v>
      </c>
      <c r="N715">
        <f>_xlfn.XLOOKUP(calls[[#This Row],[Customer ID]],customers[Customer ID],customers[Age])</f>
        <v>36</v>
      </c>
      <c r="O715" t="str">
        <f>_xlfn.XLOOKUP(calls[[#This Row],[Customer ID]],customers[Customer ID],customers[Gender])</f>
        <v>Male</v>
      </c>
    </row>
    <row r="716" spans="2:15" x14ac:dyDescent="0.55000000000000004">
      <c r="B716" t="s">
        <v>738</v>
      </c>
      <c r="C716" t="s">
        <v>21</v>
      </c>
      <c r="D716">
        <v>58</v>
      </c>
      <c r="E716" s="16" t="s">
        <v>6</v>
      </c>
      <c r="F716" s="17">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t="str">
        <f>_xlfn.XLOOKUP(calls[[#This Row],[Customer ID]],customers[Customer ID],customers[City])</f>
        <v>Columbus</v>
      </c>
      <c r="N716">
        <f>_xlfn.XLOOKUP(calls[[#This Row],[Customer ID]],customers[Customer ID],customers[Age])</f>
        <v>38</v>
      </c>
      <c r="O716" t="str">
        <f>_xlfn.XLOOKUP(calls[[#This Row],[Customer ID]],customers[Customer ID],customers[Gender])</f>
        <v>Female</v>
      </c>
    </row>
    <row r="717" spans="2:15" x14ac:dyDescent="0.55000000000000004">
      <c r="B717" t="s">
        <v>739</v>
      </c>
      <c r="C717" t="s">
        <v>8</v>
      </c>
      <c r="D717">
        <v>144</v>
      </c>
      <c r="E717" s="16" t="s">
        <v>6</v>
      </c>
      <c r="F717" s="17">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t="str">
        <f>_xlfn.XLOOKUP(calls[[#This Row],[Customer ID]],customers[Customer ID],customers[City])</f>
        <v>Cincinnati</v>
      </c>
      <c r="N717">
        <f>_xlfn.XLOOKUP(calls[[#This Row],[Customer ID]],customers[Customer ID],customers[Age])</f>
        <v>30</v>
      </c>
      <c r="O717" t="str">
        <f>_xlfn.XLOOKUP(calls[[#This Row],[Customer ID]],customers[Customer ID],customers[Gender])</f>
        <v>Female</v>
      </c>
    </row>
    <row r="718" spans="2:15" x14ac:dyDescent="0.55000000000000004">
      <c r="B718" t="s">
        <v>740</v>
      </c>
      <c r="C718" t="s">
        <v>21</v>
      </c>
      <c r="D718">
        <v>53</v>
      </c>
      <c r="E718" s="16" t="s">
        <v>11</v>
      </c>
      <c r="F718" s="17">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t="str">
        <f>_xlfn.XLOOKUP(calls[[#This Row],[Customer ID]],customers[Customer ID],customers[City])</f>
        <v>Columbus</v>
      </c>
      <c r="N718">
        <f>_xlfn.XLOOKUP(calls[[#This Row],[Customer ID]],customers[Customer ID],customers[Age])</f>
        <v>38</v>
      </c>
      <c r="O718" t="str">
        <f>_xlfn.XLOOKUP(calls[[#This Row],[Customer ID]],customers[Customer ID],customers[Gender])</f>
        <v>Female</v>
      </c>
    </row>
    <row r="719" spans="2:15" x14ac:dyDescent="0.55000000000000004">
      <c r="B719" t="s">
        <v>741</v>
      </c>
      <c r="C719" t="s">
        <v>16</v>
      </c>
      <c r="D719">
        <v>97</v>
      </c>
      <c r="E719" s="16" t="s">
        <v>9</v>
      </c>
      <c r="F719" s="17">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t="str">
        <f>_xlfn.XLOOKUP(calls[[#This Row],[Customer ID]],customers[Customer ID],customers[City])</f>
        <v>Cincinnati</v>
      </c>
      <c r="N719">
        <f>_xlfn.XLOOKUP(calls[[#This Row],[Customer ID]],customers[Customer ID],customers[Age])</f>
        <v>28</v>
      </c>
      <c r="O719" t="str">
        <f>_xlfn.XLOOKUP(calls[[#This Row],[Customer ID]],customers[Customer ID],customers[Gender])</f>
        <v>Female</v>
      </c>
    </row>
    <row r="720" spans="2:15" x14ac:dyDescent="0.55000000000000004">
      <c r="B720" t="s">
        <v>742</v>
      </c>
      <c r="C720" t="s">
        <v>23</v>
      </c>
      <c r="D720">
        <v>64</v>
      </c>
      <c r="E720" s="16" t="s">
        <v>6</v>
      </c>
      <c r="F720" s="17">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t="str">
        <f>_xlfn.XLOOKUP(calls[[#This Row],[Customer ID]],customers[Customer ID],customers[City])</f>
        <v>Columbus</v>
      </c>
      <c r="N720">
        <f>_xlfn.XLOOKUP(calls[[#This Row],[Customer ID]],customers[Customer ID],customers[Age])</f>
        <v>37</v>
      </c>
      <c r="O720" t="str">
        <f>_xlfn.XLOOKUP(calls[[#This Row],[Customer ID]],customers[Customer ID],customers[Gender])</f>
        <v>Male</v>
      </c>
    </row>
    <row r="721" spans="2:15" x14ac:dyDescent="0.55000000000000004">
      <c r="B721" t="s">
        <v>743</v>
      </c>
      <c r="C721" t="s">
        <v>20</v>
      </c>
      <c r="D721">
        <v>106</v>
      </c>
      <c r="E721" s="16" t="s">
        <v>10</v>
      </c>
      <c r="F721" s="17">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t="str">
        <f>_xlfn.XLOOKUP(calls[[#This Row],[Customer ID]],customers[Customer ID],customers[City])</f>
        <v>Cincinnati</v>
      </c>
      <c r="N721">
        <f>_xlfn.XLOOKUP(calls[[#This Row],[Customer ID]],customers[Customer ID],customers[Age])</f>
        <v>26</v>
      </c>
      <c r="O721" t="str">
        <f>_xlfn.XLOOKUP(calls[[#This Row],[Customer ID]],customers[Customer ID],customers[Gender])</f>
        <v>Male</v>
      </c>
    </row>
    <row r="722" spans="2:15" x14ac:dyDescent="0.55000000000000004">
      <c r="B722" t="s">
        <v>744</v>
      </c>
      <c r="C722" t="s">
        <v>17</v>
      </c>
      <c r="D722">
        <v>36</v>
      </c>
      <c r="E722" s="16" t="s">
        <v>6</v>
      </c>
      <c r="F722" s="17">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t="str">
        <f>_xlfn.XLOOKUP(calls[[#This Row],[Customer ID]],customers[Customer ID],customers[City])</f>
        <v>Columbus</v>
      </c>
      <c r="N722">
        <f>_xlfn.XLOOKUP(calls[[#This Row],[Customer ID]],customers[Customer ID],customers[Age])</f>
        <v>41</v>
      </c>
      <c r="O722" t="str">
        <f>_xlfn.XLOOKUP(calls[[#This Row],[Customer ID]],customers[Customer ID],customers[Gender])</f>
        <v>Male</v>
      </c>
    </row>
    <row r="723" spans="2:15" x14ac:dyDescent="0.55000000000000004">
      <c r="B723" t="s">
        <v>745</v>
      </c>
      <c r="C723" t="s">
        <v>8</v>
      </c>
      <c r="D723">
        <v>74</v>
      </c>
      <c r="E723" s="16" t="s">
        <v>13</v>
      </c>
      <c r="F723" s="17">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t="str">
        <f>_xlfn.XLOOKUP(calls[[#This Row],[Customer ID]],customers[Customer ID],customers[City])</f>
        <v>Cincinnati</v>
      </c>
      <c r="N723">
        <f>_xlfn.XLOOKUP(calls[[#This Row],[Customer ID]],customers[Customer ID],customers[Age])</f>
        <v>30</v>
      </c>
      <c r="O723" t="str">
        <f>_xlfn.XLOOKUP(calls[[#This Row],[Customer ID]],customers[Customer ID],customers[Gender])</f>
        <v>Female</v>
      </c>
    </row>
    <row r="724" spans="2:15" x14ac:dyDescent="0.55000000000000004">
      <c r="B724" t="s">
        <v>746</v>
      </c>
      <c r="C724" t="s">
        <v>7</v>
      </c>
      <c r="D724">
        <v>143</v>
      </c>
      <c r="E724" s="16" t="s">
        <v>9</v>
      </c>
      <c r="F724" s="17">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t="str">
        <f>_xlfn.XLOOKUP(calls[[#This Row],[Customer ID]],customers[Customer ID],customers[City])</f>
        <v>Columbus</v>
      </c>
      <c r="N724">
        <f>_xlfn.XLOOKUP(calls[[#This Row],[Customer ID]],customers[Customer ID],customers[Age])</f>
        <v>23</v>
      </c>
      <c r="O724" t="str">
        <f>_xlfn.XLOOKUP(calls[[#This Row],[Customer ID]],customers[Customer ID],customers[Gender])</f>
        <v>Male</v>
      </c>
    </row>
    <row r="725" spans="2:15" x14ac:dyDescent="0.55000000000000004">
      <c r="B725" t="s">
        <v>747</v>
      </c>
      <c r="C725" t="s">
        <v>20</v>
      </c>
      <c r="D725">
        <v>94</v>
      </c>
      <c r="E725" s="16" t="s">
        <v>11</v>
      </c>
      <c r="F725" s="17">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t="str">
        <f>_xlfn.XLOOKUP(calls[[#This Row],[Customer ID]],customers[Customer ID],customers[City])</f>
        <v>Cincinnati</v>
      </c>
      <c r="N725">
        <f>_xlfn.XLOOKUP(calls[[#This Row],[Customer ID]],customers[Customer ID],customers[Age])</f>
        <v>26</v>
      </c>
      <c r="O725" t="str">
        <f>_xlfn.XLOOKUP(calls[[#This Row],[Customer ID]],customers[Customer ID],customers[Gender])</f>
        <v>Male</v>
      </c>
    </row>
    <row r="726" spans="2:15" x14ac:dyDescent="0.55000000000000004">
      <c r="B726" t="s">
        <v>748</v>
      </c>
      <c r="C726" t="s">
        <v>19</v>
      </c>
      <c r="D726">
        <v>124</v>
      </c>
      <c r="E726" s="16" t="s">
        <v>10</v>
      </c>
      <c r="F726" s="17">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t="str">
        <f>_xlfn.XLOOKUP(calls[[#This Row],[Customer ID]],customers[Customer ID],customers[City])</f>
        <v>Cleveland</v>
      </c>
      <c r="N726">
        <f>_xlfn.XLOOKUP(calls[[#This Row],[Customer ID]],customers[Customer ID],customers[Age])</f>
        <v>43</v>
      </c>
      <c r="O726" t="str">
        <f>_xlfn.XLOOKUP(calls[[#This Row],[Customer ID]],customers[Customer ID],customers[Gender])</f>
        <v>Female</v>
      </c>
    </row>
    <row r="727" spans="2:15" x14ac:dyDescent="0.55000000000000004">
      <c r="B727" t="s">
        <v>749</v>
      </c>
      <c r="C727" t="s">
        <v>17</v>
      </c>
      <c r="D727">
        <v>156</v>
      </c>
      <c r="E727" s="16" t="s">
        <v>6</v>
      </c>
      <c r="F727" s="17">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t="str">
        <f>_xlfn.XLOOKUP(calls[[#This Row],[Customer ID]],customers[Customer ID],customers[City])</f>
        <v>Columbus</v>
      </c>
      <c r="N727">
        <f>_xlfn.XLOOKUP(calls[[#This Row],[Customer ID]],customers[Customer ID],customers[Age])</f>
        <v>41</v>
      </c>
      <c r="O727" t="str">
        <f>_xlfn.XLOOKUP(calls[[#This Row],[Customer ID]],customers[Customer ID],customers[Gender])</f>
        <v>Male</v>
      </c>
    </row>
    <row r="728" spans="2:15" x14ac:dyDescent="0.55000000000000004">
      <c r="B728" t="s">
        <v>750</v>
      </c>
      <c r="C728" t="s">
        <v>18</v>
      </c>
      <c r="D728">
        <v>107</v>
      </c>
      <c r="E728" s="16" t="s">
        <v>9</v>
      </c>
      <c r="F728" s="17">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t="str">
        <f>_xlfn.XLOOKUP(calls[[#This Row],[Customer ID]],customers[Customer ID],customers[City])</f>
        <v>Cleveland</v>
      </c>
      <c r="N728">
        <f>_xlfn.XLOOKUP(calls[[#This Row],[Customer ID]],customers[Customer ID],customers[Age])</f>
        <v>30</v>
      </c>
      <c r="O728" t="str">
        <f>_xlfn.XLOOKUP(calls[[#This Row],[Customer ID]],customers[Customer ID],customers[Gender])</f>
        <v>Female</v>
      </c>
    </row>
    <row r="729" spans="2:15" x14ac:dyDescent="0.55000000000000004">
      <c r="B729" t="s">
        <v>751</v>
      </c>
      <c r="C729" t="s">
        <v>20</v>
      </c>
      <c r="D729">
        <v>58</v>
      </c>
      <c r="E729" s="16" t="s">
        <v>9</v>
      </c>
      <c r="F729" s="17">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t="str">
        <f>_xlfn.XLOOKUP(calls[[#This Row],[Customer ID]],customers[Customer ID],customers[City])</f>
        <v>Cincinnati</v>
      </c>
      <c r="N729">
        <f>_xlfn.XLOOKUP(calls[[#This Row],[Customer ID]],customers[Customer ID],customers[Age])</f>
        <v>26</v>
      </c>
      <c r="O729" t="str">
        <f>_xlfn.XLOOKUP(calls[[#This Row],[Customer ID]],customers[Customer ID],customers[Gender])</f>
        <v>Male</v>
      </c>
    </row>
    <row r="730" spans="2:15" x14ac:dyDescent="0.55000000000000004">
      <c r="B730" t="s">
        <v>752</v>
      </c>
      <c r="C730" t="s">
        <v>14</v>
      </c>
      <c r="D730">
        <v>66</v>
      </c>
      <c r="E730" s="16" t="s">
        <v>9</v>
      </c>
      <c r="F730" s="17">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t="str">
        <f>_xlfn.XLOOKUP(calls[[#This Row],[Customer ID]],customers[Customer ID],customers[City])</f>
        <v>Cleveland</v>
      </c>
      <c r="N730">
        <f>_xlfn.XLOOKUP(calls[[#This Row],[Customer ID]],customers[Customer ID],customers[Age])</f>
        <v>37</v>
      </c>
      <c r="O730" t="str">
        <f>_xlfn.XLOOKUP(calls[[#This Row],[Customer ID]],customers[Customer ID],customers[Gender])</f>
        <v>Female</v>
      </c>
    </row>
    <row r="731" spans="2:15" x14ac:dyDescent="0.55000000000000004">
      <c r="B731" t="s">
        <v>753</v>
      </c>
      <c r="C731" t="s">
        <v>24</v>
      </c>
      <c r="D731">
        <v>75</v>
      </c>
      <c r="E731" s="16" t="s">
        <v>6</v>
      </c>
      <c r="F731" s="17">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t="str">
        <f>_xlfn.XLOOKUP(calls[[#This Row],[Customer ID]],customers[Customer ID],customers[City])</f>
        <v>Cleveland</v>
      </c>
      <c r="N731">
        <f>_xlfn.XLOOKUP(calls[[#This Row],[Customer ID]],customers[Customer ID],customers[Age])</f>
        <v>31</v>
      </c>
      <c r="O731" t="str">
        <f>_xlfn.XLOOKUP(calls[[#This Row],[Customer ID]],customers[Customer ID],customers[Gender])</f>
        <v>Male</v>
      </c>
    </row>
    <row r="732" spans="2:15" x14ac:dyDescent="0.55000000000000004">
      <c r="B732" t="s">
        <v>754</v>
      </c>
      <c r="C732" t="s">
        <v>18</v>
      </c>
      <c r="D732">
        <v>8</v>
      </c>
      <c r="E732" s="16" t="s">
        <v>9</v>
      </c>
      <c r="F732" s="17">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t="str">
        <f>_xlfn.XLOOKUP(calls[[#This Row],[Customer ID]],customers[Customer ID],customers[City])</f>
        <v>Cleveland</v>
      </c>
      <c r="N732">
        <f>_xlfn.XLOOKUP(calls[[#This Row],[Customer ID]],customers[Customer ID],customers[Age])</f>
        <v>30</v>
      </c>
      <c r="O732" t="str">
        <f>_xlfn.XLOOKUP(calls[[#This Row],[Customer ID]],customers[Customer ID],customers[Gender])</f>
        <v>Female</v>
      </c>
    </row>
    <row r="733" spans="2:15" x14ac:dyDescent="0.55000000000000004">
      <c r="B733" t="s">
        <v>755</v>
      </c>
      <c r="C733" t="s">
        <v>23</v>
      </c>
      <c r="D733">
        <v>76</v>
      </c>
      <c r="E733" s="16" t="s">
        <v>6</v>
      </c>
      <c r="F733" s="17">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t="str">
        <f>_xlfn.XLOOKUP(calls[[#This Row],[Customer ID]],customers[Customer ID],customers[City])</f>
        <v>Columbus</v>
      </c>
      <c r="N733">
        <f>_xlfn.XLOOKUP(calls[[#This Row],[Customer ID]],customers[Customer ID],customers[Age])</f>
        <v>37</v>
      </c>
      <c r="O733" t="str">
        <f>_xlfn.XLOOKUP(calls[[#This Row],[Customer ID]],customers[Customer ID],customers[Gender])</f>
        <v>Male</v>
      </c>
    </row>
    <row r="734" spans="2:15" x14ac:dyDescent="0.55000000000000004">
      <c r="B734" t="s">
        <v>756</v>
      </c>
      <c r="C734" t="s">
        <v>20</v>
      </c>
      <c r="D734">
        <v>110</v>
      </c>
      <c r="E734" s="16" t="s">
        <v>6</v>
      </c>
      <c r="F734" s="17">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t="str">
        <f>_xlfn.XLOOKUP(calls[[#This Row],[Customer ID]],customers[Customer ID],customers[City])</f>
        <v>Cincinnati</v>
      </c>
      <c r="N734">
        <f>_xlfn.XLOOKUP(calls[[#This Row],[Customer ID]],customers[Customer ID],customers[Age])</f>
        <v>26</v>
      </c>
      <c r="O734" t="str">
        <f>_xlfn.XLOOKUP(calls[[#This Row],[Customer ID]],customers[Customer ID],customers[Gender])</f>
        <v>Male</v>
      </c>
    </row>
    <row r="735" spans="2:15" x14ac:dyDescent="0.55000000000000004">
      <c r="B735" t="s">
        <v>757</v>
      </c>
      <c r="C735" t="s">
        <v>14</v>
      </c>
      <c r="D735">
        <v>50</v>
      </c>
      <c r="E735" s="16" t="s">
        <v>11</v>
      </c>
      <c r="F735" s="17">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t="str">
        <f>_xlfn.XLOOKUP(calls[[#This Row],[Customer ID]],customers[Customer ID],customers[City])</f>
        <v>Cleveland</v>
      </c>
      <c r="N735">
        <f>_xlfn.XLOOKUP(calls[[#This Row],[Customer ID]],customers[Customer ID],customers[Age])</f>
        <v>37</v>
      </c>
      <c r="O735" t="str">
        <f>_xlfn.XLOOKUP(calls[[#This Row],[Customer ID]],customers[Customer ID],customers[Gender])</f>
        <v>Female</v>
      </c>
    </row>
    <row r="736" spans="2:15" x14ac:dyDescent="0.55000000000000004">
      <c r="B736" t="s">
        <v>758</v>
      </c>
      <c r="C736" t="s">
        <v>15</v>
      </c>
      <c r="D736">
        <v>78</v>
      </c>
      <c r="E736" s="16" t="s">
        <v>11</v>
      </c>
      <c r="F736" s="17">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t="str">
        <f>_xlfn.XLOOKUP(calls[[#This Row],[Customer ID]],customers[Customer ID],customers[City])</f>
        <v>Cleveland</v>
      </c>
      <c r="N736">
        <f>_xlfn.XLOOKUP(calls[[#This Row],[Customer ID]],customers[Customer ID],customers[Age])</f>
        <v>22</v>
      </c>
      <c r="O736" t="str">
        <f>_xlfn.XLOOKUP(calls[[#This Row],[Customer ID]],customers[Customer ID],customers[Gender])</f>
        <v>Female</v>
      </c>
    </row>
    <row r="737" spans="2:15" x14ac:dyDescent="0.55000000000000004">
      <c r="B737" t="s">
        <v>759</v>
      </c>
      <c r="C737" t="s">
        <v>16</v>
      </c>
      <c r="D737">
        <v>59</v>
      </c>
      <c r="E737" s="16" t="s">
        <v>10</v>
      </c>
      <c r="F737" s="17">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t="str">
        <f>_xlfn.XLOOKUP(calls[[#This Row],[Customer ID]],customers[Customer ID],customers[City])</f>
        <v>Cincinnati</v>
      </c>
      <c r="N737">
        <f>_xlfn.XLOOKUP(calls[[#This Row],[Customer ID]],customers[Customer ID],customers[Age])</f>
        <v>28</v>
      </c>
      <c r="O737" t="str">
        <f>_xlfn.XLOOKUP(calls[[#This Row],[Customer ID]],customers[Customer ID],customers[Gender])</f>
        <v>Female</v>
      </c>
    </row>
    <row r="738" spans="2:15" x14ac:dyDescent="0.55000000000000004">
      <c r="B738" t="s">
        <v>760</v>
      </c>
      <c r="C738" t="s">
        <v>15</v>
      </c>
      <c r="D738">
        <v>126</v>
      </c>
      <c r="E738" s="16" t="s">
        <v>9</v>
      </c>
      <c r="F738" s="17">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t="str">
        <f>_xlfn.XLOOKUP(calls[[#This Row],[Customer ID]],customers[Customer ID],customers[City])</f>
        <v>Cleveland</v>
      </c>
      <c r="N738">
        <f>_xlfn.XLOOKUP(calls[[#This Row],[Customer ID]],customers[Customer ID],customers[Age])</f>
        <v>22</v>
      </c>
      <c r="O738" t="str">
        <f>_xlfn.XLOOKUP(calls[[#This Row],[Customer ID]],customers[Customer ID],customers[Gender])</f>
        <v>Female</v>
      </c>
    </row>
    <row r="739" spans="2:15" x14ac:dyDescent="0.55000000000000004">
      <c r="B739" t="s">
        <v>761</v>
      </c>
      <c r="C739" t="s">
        <v>23</v>
      </c>
      <c r="D739">
        <v>43</v>
      </c>
      <c r="E739" s="16" t="s">
        <v>10</v>
      </c>
      <c r="F739" s="17">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t="str">
        <f>_xlfn.XLOOKUP(calls[[#This Row],[Customer ID]],customers[Customer ID],customers[City])</f>
        <v>Columbus</v>
      </c>
      <c r="N739">
        <f>_xlfn.XLOOKUP(calls[[#This Row],[Customer ID]],customers[Customer ID],customers[Age])</f>
        <v>37</v>
      </c>
      <c r="O739" t="str">
        <f>_xlfn.XLOOKUP(calls[[#This Row],[Customer ID]],customers[Customer ID],customers[Gender])</f>
        <v>Male</v>
      </c>
    </row>
    <row r="740" spans="2:15" x14ac:dyDescent="0.55000000000000004">
      <c r="B740" t="s">
        <v>762</v>
      </c>
      <c r="C740" t="s">
        <v>17</v>
      </c>
      <c r="D740">
        <v>79</v>
      </c>
      <c r="E740" s="16" t="s">
        <v>6</v>
      </c>
      <c r="F740" s="17">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t="str">
        <f>_xlfn.XLOOKUP(calls[[#This Row],[Customer ID]],customers[Customer ID],customers[City])</f>
        <v>Columbus</v>
      </c>
      <c r="N740">
        <f>_xlfn.XLOOKUP(calls[[#This Row],[Customer ID]],customers[Customer ID],customers[Age])</f>
        <v>41</v>
      </c>
      <c r="O740" t="str">
        <f>_xlfn.XLOOKUP(calls[[#This Row],[Customer ID]],customers[Customer ID],customers[Gender])</f>
        <v>Male</v>
      </c>
    </row>
    <row r="741" spans="2:15" x14ac:dyDescent="0.55000000000000004">
      <c r="B741" t="s">
        <v>763</v>
      </c>
      <c r="C741" t="s">
        <v>20</v>
      </c>
      <c r="D741">
        <v>71</v>
      </c>
      <c r="E741" s="16" t="s">
        <v>10</v>
      </c>
      <c r="F741" s="17">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t="str">
        <f>_xlfn.XLOOKUP(calls[[#This Row],[Customer ID]],customers[Customer ID],customers[City])</f>
        <v>Cincinnati</v>
      </c>
      <c r="N741">
        <f>_xlfn.XLOOKUP(calls[[#This Row],[Customer ID]],customers[Customer ID],customers[Age])</f>
        <v>26</v>
      </c>
      <c r="O741" t="str">
        <f>_xlfn.XLOOKUP(calls[[#This Row],[Customer ID]],customers[Customer ID],customers[Gender])</f>
        <v>Male</v>
      </c>
    </row>
    <row r="742" spans="2:15" x14ac:dyDescent="0.55000000000000004">
      <c r="B742" t="s">
        <v>764</v>
      </c>
      <c r="C742" t="s">
        <v>22</v>
      </c>
      <c r="D742">
        <v>94</v>
      </c>
      <c r="E742" s="16" t="s">
        <v>9</v>
      </c>
      <c r="F742" s="17">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t="str">
        <f>_xlfn.XLOOKUP(calls[[#This Row],[Customer ID]],customers[Customer ID],customers[City])</f>
        <v>Columbus</v>
      </c>
      <c r="N742">
        <f>_xlfn.XLOOKUP(calls[[#This Row],[Customer ID]],customers[Customer ID],customers[Age])</f>
        <v>25</v>
      </c>
      <c r="O742" t="str">
        <f>_xlfn.XLOOKUP(calls[[#This Row],[Customer ID]],customers[Customer ID],customers[Gender])</f>
        <v>Female</v>
      </c>
    </row>
    <row r="743" spans="2:15" x14ac:dyDescent="0.55000000000000004">
      <c r="B743" t="s">
        <v>765</v>
      </c>
      <c r="C743" t="s">
        <v>18</v>
      </c>
      <c r="D743">
        <v>108</v>
      </c>
      <c r="E743" s="16" t="s">
        <v>10</v>
      </c>
      <c r="F743" s="17">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t="str">
        <f>_xlfn.XLOOKUP(calls[[#This Row],[Customer ID]],customers[Customer ID],customers[City])</f>
        <v>Cleveland</v>
      </c>
      <c r="N743">
        <f>_xlfn.XLOOKUP(calls[[#This Row],[Customer ID]],customers[Customer ID],customers[Age])</f>
        <v>30</v>
      </c>
      <c r="O743" t="str">
        <f>_xlfn.XLOOKUP(calls[[#This Row],[Customer ID]],customers[Customer ID],customers[Gender])</f>
        <v>Female</v>
      </c>
    </row>
    <row r="744" spans="2:15" x14ac:dyDescent="0.55000000000000004">
      <c r="B744" t="s">
        <v>766</v>
      </c>
      <c r="C744" t="s">
        <v>23</v>
      </c>
      <c r="D744">
        <v>76</v>
      </c>
      <c r="E744" s="16" t="s">
        <v>9</v>
      </c>
      <c r="F744" s="17">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t="str">
        <f>_xlfn.XLOOKUP(calls[[#This Row],[Customer ID]],customers[Customer ID],customers[City])</f>
        <v>Columbus</v>
      </c>
      <c r="N744">
        <f>_xlfn.XLOOKUP(calls[[#This Row],[Customer ID]],customers[Customer ID],customers[Age])</f>
        <v>37</v>
      </c>
      <c r="O744" t="str">
        <f>_xlfn.XLOOKUP(calls[[#This Row],[Customer ID]],customers[Customer ID],customers[Gender])</f>
        <v>Male</v>
      </c>
    </row>
    <row r="745" spans="2:15" x14ac:dyDescent="0.55000000000000004">
      <c r="B745" t="s">
        <v>767</v>
      </c>
      <c r="C745" t="s">
        <v>16</v>
      </c>
      <c r="D745">
        <v>136</v>
      </c>
      <c r="E745" s="16" t="s">
        <v>10</v>
      </c>
      <c r="F745" s="17">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t="str">
        <f>_xlfn.XLOOKUP(calls[[#This Row],[Customer ID]],customers[Customer ID],customers[City])</f>
        <v>Cincinnati</v>
      </c>
      <c r="N745">
        <f>_xlfn.XLOOKUP(calls[[#This Row],[Customer ID]],customers[Customer ID],customers[Age])</f>
        <v>28</v>
      </c>
      <c r="O745" t="str">
        <f>_xlfn.XLOOKUP(calls[[#This Row],[Customer ID]],customers[Customer ID],customers[Gender])</f>
        <v>Female</v>
      </c>
    </row>
    <row r="746" spans="2:15" x14ac:dyDescent="0.55000000000000004">
      <c r="B746" t="s">
        <v>768</v>
      </c>
      <c r="C746" t="s">
        <v>12</v>
      </c>
      <c r="D746">
        <v>129</v>
      </c>
      <c r="E746" s="16" t="s">
        <v>11</v>
      </c>
      <c r="F746" s="17">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t="str">
        <f>_xlfn.XLOOKUP(calls[[#This Row],[Customer ID]],customers[Customer ID],customers[City])</f>
        <v>Cincinnati</v>
      </c>
      <c r="N746">
        <f>_xlfn.XLOOKUP(calls[[#This Row],[Customer ID]],customers[Customer ID],customers[Age])</f>
        <v>36</v>
      </c>
      <c r="O746" t="str">
        <f>_xlfn.XLOOKUP(calls[[#This Row],[Customer ID]],customers[Customer ID],customers[Gender])</f>
        <v>Male</v>
      </c>
    </row>
    <row r="747" spans="2:15" x14ac:dyDescent="0.55000000000000004">
      <c r="B747" t="s">
        <v>769</v>
      </c>
      <c r="C747" t="s">
        <v>18</v>
      </c>
      <c r="D747">
        <v>120</v>
      </c>
      <c r="E747" s="16" t="s">
        <v>10</v>
      </c>
      <c r="F747" s="17">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t="str">
        <f>_xlfn.XLOOKUP(calls[[#This Row],[Customer ID]],customers[Customer ID],customers[City])</f>
        <v>Cleveland</v>
      </c>
      <c r="N747">
        <f>_xlfn.XLOOKUP(calls[[#This Row],[Customer ID]],customers[Customer ID],customers[Age])</f>
        <v>30</v>
      </c>
      <c r="O747" t="str">
        <f>_xlfn.XLOOKUP(calls[[#This Row],[Customer ID]],customers[Customer ID],customers[Gender])</f>
        <v>Female</v>
      </c>
    </row>
    <row r="748" spans="2:15" x14ac:dyDescent="0.55000000000000004">
      <c r="B748" t="s">
        <v>770</v>
      </c>
      <c r="C748" t="s">
        <v>23</v>
      </c>
      <c r="D748">
        <v>108</v>
      </c>
      <c r="E748" s="16" t="s">
        <v>11</v>
      </c>
      <c r="F748" s="17">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t="str">
        <f>_xlfn.XLOOKUP(calls[[#This Row],[Customer ID]],customers[Customer ID],customers[City])</f>
        <v>Columbus</v>
      </c>
      <c r="N748">
        <f>_xlfn.XLOOKUP(calls[[#This Row],[Customer ID]],customers[Customer ID],customers[Age])</f>
        <v>37</v>
      </c>
      <c r="O748" t="str">
        <f>_xlfn.XLOOKUP(calls[[#This Row],[Customer ID]],customers[Customer ID],customers[Gender])</f>
        <v>Male</v>
      </c>
    </row>
    <row r="749" spans="2:15" x14ac:dyDescent="0.55000000000000004">
      <c r="B749" t="s">
        <v>771</v>
      </c>
      <c r="C749" t="s">
        <v>15</v>
      </c>
      <c r="D749">
        <v>79</v>
      </c>
      <c r="E749" s="16" t="s">
        <v>10</v>
      </c>
      <c r="F749" s="17">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t="str">
        <f>_xlfn.XLOOKUP(calls[[#This Row],[Customer ID]],customers[Customer ID],customers[City])</f>
        <v>Cleveland</v>
      </c>
      <c r="N749">
        <f>_xlfn.XLOOKUP(calls[[#This Row],[Customer ID]],customers[Customer ID],customers[Age])</f>
        <v>22</v>
      </c>
      <c r="O749" t="str">
        <f>_xlfn.XLOOKUP(calls[[#This Row],[Customer ID]],customers[Customer ID],customers[Gender])</f>
        <v>Female</v>
      </c>
    </row>
    <row r="750" spans="2:15" x14ac:dyDescent="0.55000000000000004">
      <c r="B750" t="s">
        <v>772</v>
      </c>
      <c r="C750" t="s">
        <v>15</v>
      </c>
      <c r="D750">
        <v>45</v>
      </c>
      <c r="E750" s="16" t="s">
        <v>11</v>
      </c>
      <c r="F750" s="17">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t="str">
        <f>_xlfn.XLOOKUP(calls[[#This Row],[Customer ID]],customers[Customer ID],customers[City])</f>
        <v>Cleveland</v>
      </c>
      <c r="N750">
        <f>_xlfn.XLOOKUP(calls[[#This Row],[Customer ID]],customers[Customer ID],customers[Age])</f>
        <v>22</v>
      </c>
      <c r="O750" t="str">
        <f>_xlfn.XLOOKUP(calls[[#This Row],[Customer ID]],customers[Customer ID],customers[Gender])</f>
        <v>Female</v>
      </c>
    </row>
    <row r="751" spans="2:15" x14ac:dyDescent="0.55000000000000004">
      <c r="B751" t="s">
        <v>773</v>
      </c>
      <c r="C751" t="s">
        <v>8</v>
      </c>
      <c r="D751">
        <v>96</v>
      </c>
      <c r="E751" s="16" t="s">
        <v>10</v>
      </c>
      <c r="F751" s="17">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t="str">
        <f>_xlfn.XLOOKUP(calls[[#This Row],[Customer ID]],customers[Customer ID],customers[City])</f>
        <v>Cincinnati</v>
      </c>
      <c r="N751">
        <f>_xlfn.XLOOKUP(calls[[#This Row],[Customer ID]],customers[Customer ID],customers[Age])</f>
        <v>30</v>
      </c>
      <c r="O751" t="str">
        <f>_xlfn.XLOOKUP(calls[[#This Row],[Customer ID]],customers[Customer ID],customers[Gender])</f>
        <v>Female</v>
      </c>
    </row>
    <row r="752" spans="2:15" x14ac:dyDescent="0.55000000000000004">
      <c r="B752" t="s">
        <v>774</v>
      </c>
      <c r="C752" t="s">
        <v>8</v>
      </c>
      <c r="D752">
        <v>81</v>
      </c>
      <c r="E752" s="16" t="s">
        <v>10</v>
      </c>
      <c r="F752" s="17">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t="str">
        <f>_xlfn.XLOOKUP(calls[[#This Row],[Customer ID]],customers[Customer ID],customers[City])</f>
        <v>Cincinnati</v>
      </c>
      <c r="N752">
        <f>_xlfn.XLOOKUP(calls[[#This Row],[Customer ID]],customers[Customer ID],customers[Age])</f>
        <v>30</v>
      </c>
      <c r="O752" t="str">
        <f>_xlfn.XLOOKUP(calls[[#This Row],[Customer ID]],customers[Customer ID],customers[Gender])</f>
        <v>Female</v>
      </c>
    </row>
    <row r="753" spans="2:15" x14ac:dyDescent="0.55000000000000004">
      <c r="B753" t="s">
        <v>775</v>
      </c>
      <c r="C753" t="s">
        <v>16</v>
      </c>
      <c r="D753">
        <v>95</v>
      </c>
      <c r="E753" s="16" t="s">
        <v>13</v>
      </c>
      <c r="F753" s="17">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t="str">
        <f>_xlfn.XLOOKUP(calls[[#This Row],[Customer ID]],customers[Customer ID],customers[City])</f>
        <v>Cincinnati</v>
      </c>
      <c r="N753">
        <f>_xlfn.XLOOKUP(calls[[#This Row],[Customer ID]],customers[Customer ID],customers[Age])</f>
        <v>28</v>
      </c>
      <c r="O753" t="str">
        <f>_xlfn.XLOOKUP(calls[[#This Row],[Customer ID]],customers[Customer ID],customers[Gender])</f>
        <v>Female</v>
      </c>
    </row>
    <row r="754" spans="2:15" x14ac:dyDescent="0.55000000000000004">
      <c r="B754" t="s">
        <v>776</v>
      </c>
      <c r="C754" t="s">
        <v>19</v>
      </c>
      <c r="D754">
        <v>159</v>
      </c>
      <c r="E754" s="16" t="s">
        <v>9</v>
      </c>
      <c r="F754" s="17">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t="str">
        <f>_xlfn.XLOOKUP(calls[[#This Row],[Customer ID]],customers[Customer ID],customers[City])</f>
        <v>Cleveland</v>
      </c>
      <c r="N754">
        <f>_xlfn.XLOOKUP(calls[[#This Row],[Customer ID]],customers[Customer ID],customers[Age])</f>
        <v>43</v>
      </c>
      <c r="O754" t="str">
        <f>_xlfn.XLOOKUP(calls[[#This Row],[Customer ID]],customers[Customer ID],customers[Gender])</f>
        <v>Female</v>
      </c>
    </row>
    <row r="755" spans="2:15" x14ac:dyDescent="0.55000000000000004">
      <c r="B755" t="s">
        <v>777</v>
      </c>
      <c r="C755" t="s">
        <v>5</v>
      </c>
      <c r="D755">
        <v>109</v>
      </c>
      <c r="E755" s="16" t="s">
        <v>6</v>
      </c>
      <c r="F755" s="17">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t="str">
        <f>_xlfn.XLOOKUP(calls[[#This Row],[Customer ID]],customers[Customer ID],customers[City])</f>
        <v>Cleveland</v>
      </c>
      <c r="N755">
        <f>_xlfn.XLOOKUP(calls[[#This Row],[Customer ID]],customers[Customer ID],customers[Age])</f>
        <v>42</v>
      </c>
      <c r="O755" t="str">
        <f>_xlfn.XLOOKUP(calls[[#This Row],[Customer ID]],customers[Customer ID],customers[Gender])</f>
        <v>Female</v>
      </c>
    </row>
    <row r="756" spans="2:15" x14ac:dyDescent="0.55000000000000004">
      <c r="B756" t="s">
        <v>778</v>
      </c>
      <c r="C756" t="s">
        <v>15</v>
      </c>
      <c r="D756">
        <v>107</v>
      </c>
      <c r="E756" s="16" t="s">
        <v>6</v>
      </c>
      <c r="F756" s="17">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t="str">
        <f>_xlfn.XLOOKUP(calls[[#This Row],[Customer ID]],customers[Customer ID],customers[City])</f>
        <v>Cleveland</v>
      </c>
      <c r="N756">
        <f>_xlfn.XLOOKUP(calls[[#This Row],[Customer ID]],customers[Customer ID],customers[Age])</f>
        <v>22</v>
      </c>
      <c r="O756" t="str">
        <f>_xlfn.XLOOKUP(calls[[#This Row],[Customer ID]],customers[Customer ID],customers[Gender])</f>
        <v>Female</v>
      </c>
    </row>
    <row r="757" spans="2:15" x14ac:dyDescent="0.55000000000000004">
      <c r="B757" t="s">
        <v>779</v>
      </c>
      <c r="C757" t="s">
        <v>8</v>
      </c>
      <c r="D757">
        <v>67</v>
      </c>
      <c r="E757" s="16" t="s">
        <v>11</v>
      </c>
      <c r="F757" s="17">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t="str">
        <f>_xlfn.XLOOKUP(calls[[#This Row],[Customer ID]],customers[Customer ID],customers[City])</f>
        <v>Cincinnati</v>
      </c>
      <c r="N757">
        <f>_xlfn.XLOOKUP(calls[[#This Row],[Customer ID]],customers[Customer ID],customers[Age])</f>
        <v>30</v>
      </c>
      <c r="O757" t="str">
        <f>_xlfn.XLOOKUP(calls[[#This Row],[Customer ID]],customers[Customer ID],customers[Gender])</f>
        <v>Female</v>
      </c>
    </row>
    <row r="758" spans="2:15" x14ac:dyDescent="0.55000000000000004">
      <c r="B758" t="s">
        <v>780</v>
      </c>
      <c r="C758" t="s">
        <v>24</v>
      </c>
      <c r="D758">
        <v>96</v>
      </c>
      <c r="E758" s="16" t="s">
        <v>10</v>
      </c>
      <c r="F758" s="17">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t="str">
        <f>_xlfn.XLOOKUP(calls[[#This Row],[Customer ID]],customers[Customer ID],customers[City])</f>
        <v>Cleveland</v>
      </c>
      <c r="N758">
        <f>_xlfn.XLOOKUP(calls[[#This Row],[Customer ID]],customers[Customer ID],customers[Age])</f>
        <v>31</v>
      </c>
      <c r="O758" t="str">
        <f>_xlfn.XLOOKUP(calls[[#This Row],[Customer ID]],customers[Customer ID],customers[Gender])</f>
        <v>Male</v>
      </c>
    </row>
    <row r="759" spans="2:15" x14ac:dyDescent="0.55000000000000004">
      <c r="B759" t="s">
        <v>781</v>
      </c>
      <c r="C759" t="s">
        <v>7</v>
      </c>
      <c r="D759">
        <v>142</v>
      </c>
      <c r="E759" s="16" t="s">
        <v>9</v>
      </c>
      <c r="F759" s="17">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t="str">
        <f>_xlfn.XLOOKUP(calls[[#This Row],[Customer ID]],customers[Customer ID],customers[City])</f>
        <v>Columbus</v>
      </c>
      <c r="N759">
        <f>_xlfn.XLOOKUP(calls[[#This Row],[Customer ID]],customers[Customer ID],customers[Age])</f>
        <v>23</v>
      </c>
      <c r="O759" t="str">
        <f>_xlfn.XLOOKUP(calls[[#This Row],[Customer ID]],customers[Customer ID],customers[Gender])</f>
        <v>Male</v>
      </c>
    </row>
    <row r="760" spans="2:15" x14ac:dyDescent="0.55000000000000004">
      <c r="B760" t="s">
        <v>782</v>
      </c>
      <c r="C760" t="s">
        <v>7</v>
      </c>
      <c r="D760">
        <v>71</v>
      </c>
      <c r="E760" s="16" t="s">
        <v>13</v>
      </c>
      <c r="F760" s="17">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t="str">
        <f>_xlfn.XLOOKUP(calls[[#This Row],[Customer ID]],customers[Customer ID],customers[City])</f>
        <v>Columbus</v>
      </c>
      <c r="N760">
        <f>_xlfn.XLOOKUP(calls[[#This Row],[Customer ID]],customers[Customer ID],customers[Age])</f>
        <v>23</v>
      </c>
      <c r="O760" t="str">
        <f>_xlfn.XLOOKUP(calls[[#This Row],[Customer ID]],customers[Customer ID],customers[Gender])</f>
        <v>Male</v>
      </c>
    </row>
    <row r="761" spans="2:15" x14ac:dyDescent="0.55000000000000004">
      <c r="B761" t="s">
        <v>783</v>
      </c>
      <c r="C761" t="s">
        <v>24</v>
      </c>
      <c r="D761">
        <v>152</v>
      </c>
      <c r="E761" s="16" t="s">
        <v>13</v>
      </c>
      <c r="F761" s="17">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t="str">
        <f>_xlfn.XLOOKUP(calls[[#This Row],[Customer ID]],customers[Customer ID],customers[City])</f>
        <v>Cleveland</v>
      </c>
      <c r="N761">
        <f>_xlfn.XLOOKUP(calls[[#This Row],[Customer ID]],customers[Customer ID],customers[Age])</f>
        <v>31</v>
      </c>
      <c r="O761" t="str">
        <f>_xlfn.XLOOKUP(calls[[#This Row],[Customer ID]],customers[Customer ID],customers[Gender])</f>
        <v>Male</v>
      </c>
    </row>
    <row r="762" spans="2:15" x14ac:dyDescent="0.55000000000000004">
      <c r="B762" t="s">
        <v>784</v>
      </c>
      <c r="C762" t="s">
        <v>17</v>
      </c>
      <c r="D762">
        <v>108</v>
      </c>
      <c r="E762" s="16" t="s">
        <v>9</v>
      </c>
      <c r="F762" s="17">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t="str">
        <f>_xlfn.XLOOKUP(calls[[#This Row],[Customer ID]],customers[Customer ID],customers[City])</f>
        <v>Columbus</v>
      </c>
      <c r="N762">
        <f>_xlfn.XLOOKUP(calls[[#This Row],[Customer ID]],customers[Customer ID],customers[Age])</f>
        <v>41</v>
      </c>
      <c r="O762" t="str">
        <f>_xlfn.XLOOKUP(calls[[#This Row],[Customer ID]],customers[Customer ID],customers[Gender])</f>
        <v>Male</v>
      </c>
    </row>
    <row r="763" spans="2:15" x14ac:dyDescent="0.55000000000000004">
      <c r="B763" t="s">
        <v>785</v>
      </c>
      <c r="C763" t="s">
        <v>17</v>
      </c>
      <c r="D763">
        <v>156</v>
      </c>
      <c r="E763" s="16" t="s">
        <v>13</v>
      </c>
      <c r="F763" s="17">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t="str">
        <f>_xlfn.XLOOKUP(calls[[#This Row],[Customer ID]],customers[Customer ID],customers[City])</f>
        <v>Columbus</v>
      </c>
      <c r="N763">
        <f>_xlfn.XLOOKUP(calls[[#This Row],[Customer ID]],customers[Customer ID],customers[Age])</f>
        <v>41</v>
      </c>
      <c r="O763" t="str">
        <f>_xlfn.XLOOKUP(calls[[#This Row],[Customer ID]],customers[Customer ID],customers[Gender])</f>
        <v>Male</v>
      </c>
    </row>
    <row r="764" spans="2:15" x14ac:dyDescent="0.55000000000000004">
      <c r="B764" t="s">
        <v>786</v>
      </c>
      <c r="C764" t="s">
        <v>7</v>
      </c>
      <c r="D764">
        <v>126</v>
      </c>
      <c r="E764" s="16" t="s">
        <v>9</v>
      </c>
      <c r="F764" s="17">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t="str">
        <f>_xlfn.XLOOKUP(calls[[#This Row],[Customer ID]],customers[Customer ID],customers[City])</f>
        <v>Columbus</v>
      </c>
      <c r="N764">
        <f>_xlfn.XLOOKUP(calls[[#This Row],[Customer ID]],customers[Customer ID],customers[Age])</f>
        <v>23</v>
      </c>
      <c r="O764" t="str">
        <f>_xlfn.XLOOKUP(calls[[#This Row],[Customer ID]],customers[Customer ID],customers[Gender])</f>
        <v>Male</v>
      </c>
    </row>
    <row r="765" spans="2:15" x14ac:dyDescent="0.55000000000000004">
      <c r="B765" t="s">
        <v>787</v>
      </c>
      <c r="C765" t="s">
        <v>23</v>
      </c>
      <c r="D765">
        <v>135</v>
      </c>
      <c r="E765" s="16" t="s">
        <v>13</v>
      </c>
      <c r="F765" s="17">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t="str">
        <f>_xlfn.XLOOKUP(calls[[#This Row],[Customer ID]],customers[Customer ID],customers[City])</f>
        <v>Columbus</v>
      </c>
      <c r="N765">
        <f>_xlfn.XLOOKUP(calls[[#This Row],[Customer ID]],customers[Customer ID],customers[Age])</f>
        <v>37</v>
      </c>
      <c r="O765" t="str">
        <f>_xlfn.XLOOKUP(calls[[#This Row],[Customer ID]],customers[Customer ID],customers[Gender])</f>
        <v>Male</v>
      </c>
    </row>
    <row r="766" spans="2:15" x14ac:dyDescent="0.55000000000000004">
      <c r="B766" t="s">
        <v>788</v>
      </c>
      <c r="C766" t="s">
        <v>7</v>
      </c>
      <c r="D766">
        <v>110</v>
      </c>
      <c r="E766" s="16" t="s">
        <v>10</v>
      </c>
      <c r="F766" s="17">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t="str">
        <f>_xlfn.XLOOKUP(calls[[#This Row],[Customer ID]],customers[Customer ID],customers[City])</f>
        <v>Columbus</v>
      </c>
      <c r="N766">
        <f>_xlfn.XLOOKUP(calls[[#This Row],[Customer ID]],customers[Customer ID],customers[Age])</f>
        <v>23</v>
      </c>
      <c r="O766" t="str">
        <f>_xlfn.XLOOKUP(calls[[#This Row],[Customer ID]],customers[Customer ID],customers[Gender])</f>
        <v>Male</v>
      </c>
    </row>
    <row r="767" spans="2:15" x14ac:dyDescent="0.55000000000000004">
      <c r="B767" t="s">
        <v>789</v>
      </c>
      <c r="C767" t="s">
        <v>19</v>
      </c>
      <c r="D767">
        <v>64</v>
      </c>
      <c r="E767" s="16" t="s">
        <v>13</v>
      </c>
      <c r="F767" s="17">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t="str">
        <f>_xlfn.XLOOKUP(calls[[#This Row],[Customer ID]],customers[Customer ID],customers[City])</f>
        <v>Cleveland</v>
      </c>
      <c r="N767">
        <f>_xlfn.XLOOKUP(calls[[#This Row],[Customer ID]],customers[Customer ID],customers[Age])</f>
        <v>43</v>
      </c>
      <c r="O767" t="str">
        <f>_xlfn.XLOOKUP(calls[[#This Row],[Customer ID]],customers[Customer ID],customers[Gender])</f>
        <v>Female</v>
      </c>
    </row>
    <row r="768" spans="2:15" x14ac:dyDescent="0.55000000000000004">
      <c r="B768" t="s">
        <v>790</v>
      </c>
      <c r="C768" t="s">
        <v>22</v>
      </c>
      <c r="D768">
        <v>127</v>
      </c>
      <c r="E768" s="16" t="s">
        <v>9</v>
      </c>
      <c r="F768" s="17">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t="str">
        <f>_xlfn.XLOOKUP(calls[[#This Row],[Customer ID]],customers[Customer ID],customers[City])</f>
        <v>Columbus</v>
      </c>
      <c r="N768">
        <f>_xlfn.XLOOKUP(calls[[#This Row],[Customer ID]],customers[Customer ID],customers[Age])</f>
        <v>25</v>
      </c>
      <c r="O768" t="str">
        <f>_xlfn.XLOOKUP(calls[[#This Row],[Customer ID]],customers[Customer ID],customers[Gender])</f>
        <v>Female</v>
      </c>
    </row>
    <row r="769" spans="2:15" x14ac:dyDescent="0.55000000000000004">
      <c r="B769" t="s">
        <v>791</v>
      </c>
      <c r="C769" t="s">
        <v>5</v>
      </c>
      <c r="D769">
        <v>124</v>
      </c>
      <c r="E769" s="16" t="s">
        <v>11</v>
      </c>
      <c r="F769" s="17">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t="str">
        <f>_xlfn.XLOOKUP(calls[[#This Row],[Customer ID]],customers[Customer ID],customers[City])</f>
        <v>Cleveland</v>
      </c>
      <c r="N769">
        <f>_xlfn.XLOOKUP(calls[[#This Row],[Customer ID]],customers[Customer ID],customers[Age])</f>
        <v>42</v>
      </c>
      <c r="O769" t="str">
        <f>_xlfn.XLOOKUP(calls[[#This Row],[Customer ID]],customers[Customer ID],customers[Gender])</f>
        <v>Female</v>
      </c>
    </row>
    <row r="770" spans="2:15" x14ac:dyDescent="0.55000000000000004">
      <c r="B770" t="s">
        <v>792</v>
      </c>
      <c r="C770" t="s">
        <v>19</v>
      </c>
      <c r="D770">
        <v>125</v>
      </c>
      <c r="E770" s="16" t="s">
        <v>9</v>
      </c>
      <c r="F770" s="17">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t="str">
        <f>_xlfn.XLOOKUP(calls[[#This Row],[Customer ID]],customers[Customer ID],customers[City])</f>
        <v>Cleveland</v>
      </c>
      <c r="N770">
        <f>_xlfn.XLOOKUP(calls[[#This Row],[Customer ID]],customers[Customer ID],customers[Age])</f>
        <v>43</v>
      </c>
      <c r="O770" t="str">
        <f>_xlfn.XLOOKUP(calls[[#This Row],[Customer ID]],customers[Customer ID],customers[Gender])</f>
        <v>Female</v>
      </c>
    </row>
    <row r="771" spans="2:15" x14ac:dyDescent="0.55000000000000004">
      <c r="B771" t="s">
        <v>793</v>
      </c>
      <c r="C771" t="s">
        <v>12</v>
      </c>
      <c r="D771">
        <v>70</v>
      </c>
      <c r="E771" s="16" t="s">
        <v>9</v>
      </c>
      <c r="F771" s="17">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t="str">
        <f>_xlfn.XLOOKUP(calls[[#This Row],[Customer ID]],customers[Customer ID],customers[City])</f>
        <v>Cincinnati</v>
      </c>
      <c r="N771">
        <f>_xlfn.XLOOKUP(calls[[#This Row],[Customer ID]],customers[Customer ID],customers[Age])</f>
        <v>36</v>
      </c>
      <c r="O771" t="str">
        <f>_xlfn.XLOOKUP(calls[[#This Row],[Customer ID]],customers[Customer ID],customers[Gender])</f>
        <v>Male</v>
      </c>
    </row>
    <row r="772" spans="2:15" x14ac:dyDescent="0.55000000000000004">
      <c r="B772" t="s">
        <v>794</v>
      </c>
      <c r="C772" t="s">
        <v>22</v>
      </c>
      <c r="D772">
        <v>93</v>
      </c>
      <c r="E772" s="16" t="s">
        <v>13</v>
      </c>
      <c r="F772" s="17">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t="str">
        <f>_xlfn.XLOOKUP(calls[[#This Row],[Customer ID]],customers[Customer ID],customers[City])</f>
        <v>Columbus</v>
      </c>
      <c r="N772">
        <f>_xlfn.XLOOKUP(calls[[#This Row],[Customer ID]],customers[Customer ID],customers[Age])</f>
        <v>25</v>
      </c>
      <c r="O772" t="str">
        <f>_xlfn.XLOOKUP(calls[[#This Row],[Customer ID]],customers[Customer ID],customers[Gender])</f>
        <v>Female</v>
      </c>
    </row>
    <row r="773" spans="2:15" x14ac:dyDescent="0.55000000000000004">
      <c r="B773" t="s">
        <v>795</v>
      </c>
      <c r="C773" t="s">
        <v>12</v>
      </c>
      <c r="D773">
        <v>120</v>
      </c>
      <c r="E773" s="16" t="s">
        <v>6</v>
      </c>
      <c r="F773" s="17">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t="str">
        <f>_xlfn.XLOOKUP(calls[[#This Row],[Customer ID]],customers[Customer ID],customers[City])</f>
        <v>Cincinnati</v>
      </c>
      <c r="N773">
        <f>_xlfn.XLOOKUP(calls[[#This Row],[Customer ID]],customers[Customer ID],customers[Age])</f>
        <v>36</v>
      </c>
      <c r="O773" t="str">
        <f>_xlfn.XLOOKUP(calls[[#This Row],[Customer ID]],customers[Customer ID],customers[Gender])</f>
        <v>Male</v>
      </c>
    </row>
    <row r="774" spans="2:15" x14ac:dyDescent="0.55000000000000004">
      <c r="B774" t="s">
        <v>796</v>
      </c>
      <c r="C774" t="s">
        <v>8</v>
      </c>
      <c r="D774">
        <v>96</v>
      </c>
      <c r="E774" s="16" t="s">
        <v>10</v>
      </c>
      <c r="F774" s="17">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t="str">
        <f>_xlfn.XLOOKUP(calls[[#This Row],[Customer ID]],customers[Customer ID],customers[City])</f>
        <v>Cincinnati</v>
      </c>
      <c r="N774">
        <f>_xlfn.XLOOKUP(calls[[#This Row],[Customer ID]],customers[Customer ID],customers[Age])</f>
        <v>30</v>
      </c>
      <c r="O774" t="str">
        <f>_xlfn.XLOOKUP(calls[[#This Row],[Customer ID]],customers[Customer ID],customers[Gender])</f>
        <v>Female</v>
      </c>
    </row>
    <row r="775" spans="2:15" x14ac:dyDescent="0.55000000000000004">
      <c r="B775" t="s">
        <v>797</v>
      </c>
      <c r="C775" t="s">
        <v>21</v>
      </c>
      <c r="D775">
        <v>67</v>
      </c>
      <c r="E775" s="16" t="s">
        <v>10</v>
      </c>
      <c r="F775" s="17">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t="str">
        <f>_xlfn.XLOOKUP(calls[[#This Row],[Customer ID]],customers[Customer ID],customers[City])</f>
        <v>Columbus</v>
      </c>
      <c r="N775">
        <f>_xlfn.XLOOKUP(calls[[#This Row],[Customer ID]],customers[Customer ID],customers[Age])</f>
        <v>38</v>
      </c>
      <c r="O775" t="str">
        <f>_xlfn.XLOOKUP(calls[[#This Row],[Customer ID]],customers[Customer ID],customers[Gender])</f>
        <v>Female</v>
      </c>
    </row>
    <row r="776" spans="2:15" x14ac:dyDescent="0.55000000000000004">
      <c r="B776" t="s">
        <v>798</v>
      </c>
      <c r="C776" t="s">
        <v>19</v>
      </c>
      <c r="D776">
        <v>119</v>
      </c>
      <c r="E776" s="16" t="s">
        <v>10</v>
      </c>
      <c r="F776" s="17">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t="str">
        <f>_xlfn.XLOOKUP(calls[[#This Row],[Customer ID]],customers[Customer ID],customers[City])</f>
        <v>Cleveland</v>
      </c>
      <c r="N776">
        <f>_xlfn.XLOOKUP(calls[[#This Row],[Customer ID]],customers[Customer ID],customers[Age])</f>
        <v>43</v>
      </c>
      <c r="O776" t="str">
        <f>_xlfn.XLOOKUP(calls[[#This Row],[Customer ID]],customers[Customer ID],customers[Gender])</f>
        <v>Female</v>
      </c>
    </row>
    <row r="777" spans="2:15" x14ac:dyDescent="0.55000000000000004">
      <c r="B777" t="s">
        <v>799</v>
      </c>
      <c r="C777" t="s">
        <v>5</v>
      </c>
      <c r="D777">
        <v>61</v>
      </c>
      <c r="E777" s="16" t="s">
        <v>11</v>
      </c>
      <c r="F777" s="17">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t="str">
        <f>_xlfn.XLOOKUP(calls[[#This Row],[Customer ID]],customers[Customer ID],customers[City])</f>
        <v>Cleveland</v>
      </c>
      <c r="N777">
        <f>_xlfn.XLOOKUP(calls[[#This Row],[Customer ID]],customers[Customer ID],customers[Age])</f>
        <v>42</v>
      </c>
      <c r="O777" t="str">
        <f>_xlfn.XLOOKUP(calls[[#This Row],[Customer ID]],customers[Customer ID],customers[Gender])</f>
        <v>Female</v>
      </c>
    </row>
    <row r="778" spans="2:15" x14ac:dyDescent="0.55000000000000004">
      <c r="B778" t="s">
        <v>800</v>
      </c>
      <c r="C778" t="s">
        <v>8</v>
      </c>
      <c r="D778">
        <v>29</v>
      </c>
      <c r="E778" s="16" t="s">
        <v>13</v>
      </c>
      <c r="F778" s="17">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t="str">
        <f>_xlfn.XLOOKUP(calls[[#This Row],[Customer ID]],customers[Customer ID],customers[City])</f>
        <v>Cincinnati</v>
      </c>
      <c r="N778">
        <f>_xlfn.XLOOKUP(calls[[#This Row],[Customer ID]],customers[Customer ID],customers[Age])</f>
        <v>30</v>
      </c>
      <c r="O778" t="str">
        <f>_xlfn.XLOOKUP(calls[[#This Row],[Customer ID]],customers[Customer ID],customers[Gender])</f>
        <v>Female</v>
      </c>
    </row>
    <row r="779" spans="2:15" x14ac:dyDescent="0.55000000000000004">
      <c r="B779" t="s">
        <v>801</v>
      </c>
      <c r="C779" t="s">
        <v>24</v>
      </c>
      <c r="D779">
        <v>134</v>
      </c>
      <c r="E779" s="16" t="s">
        <v>6</v>
      </c>
      <c r="F779" s="17">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t="str">
        <f>_xlfn.XLOOKUP(calls[[#This Row],[Customer ID]],customers[Customer ID],customers[City])</f>
        <v>Cleveland</v>
      </c>
      <c r="N779">
        <f>_xlfn.XLOOKUP(calls[[#This Row],[Customer ID]],customers[Customer ID],customers[Age])</f>
        <v>31</v>
      </c>
      <c r="O779" t="str">
        <f>_xlfn.XLOOKUP(calls[[#This Row],[Customer ID]],customers[Customer ID],customers[Gender])</f>
        <v>Male</v>
      </c>
    </row>
    <row r="780" spans="2:15" x14ac:dyDescent="0.55000000000000004">
      <c r="B780" t="s">
        <v>802</v>
      </c>
      <c r="C780" t="s">
        <v>7</v>
      </c>
      <c r="D780">
        <v>113</v>
      </c>
      <c r="E780" s="16" t="s">
        <v>10</v>
      </c>
      <c r="F780" s="17">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t="str">
        <f>_xlfn.XLOOKUP(calls[[#This Row],[Customer ID]],customers[Customer ID],customers[City])</f>
        <v>Columbus</v>
      </c>
      <c r="N780">
        <f>_xlfn.XLOOKUP(calls[[#This Row],[Customer ID]],customers[Customer ID],customers[Age])</f>
        <v>23</v>
      </c>
      <c r="O780" t="str">
        <f>_xlfn.XLOOKUP(calls[[#This Row],[Customer ID]],customers[Customer ID],customers[Gender])</f>
        <v>Male</v>
      </c>
    </row>
    <row r="781" spans="2:15" x14ac:dyDescent="0.55000000000000004">
      <c r="B781" t="s">
        <v>803</v>
      </c>
      <c r="C781" t="s">
        <v>17</v>
      </c>
      <c r="D781">
        <v>12</v>
      </c>
      <c r="E781" s="16" t="s">
        <v>6</v>
      </c>
      <c r="F781" s="17">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t="str">
        <f>_xlfn.XLOOKUP(calls[[#This Row],[Customer ID]],customers[Customer ID],customers[City])</f>
        <v>Columbus</v>
      </c>
      <c r="N781">
        <f>_xlfn.XLOOKUP(calls[[#This Row],[Customer ID]],customers[Customer ID],customers[Age])</f>
        <v>41</v>
      </c>
      <c r="O781" t="str">
        <f>_xlfn.XLOOKUP(calls[[#This Row],[Customer ID]],customers[Customer ID],customers[Gender])</f>
        <v>Male</v>
      </c>
    </row>
    <row r="782" spans="2:15" x14ac:dyDescent="0.55000000000000004">
      <c r="B782" t="s">
        <v>804</v>
      </c>
      <c r="C782" t="s">
        <v>14</v>
      </c>
      <c r="D782">
        <v>78</v>
      </c>
      <c r="E782" s="16" t="s">
        <v>13</v>
      </c>
      <c r="F782" s="17">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t="str">
        <f>_xlfn.XLOOKUP(calls[[#This Row],[Customer ID]],customers[Customer ID],customers[City])</f>
        <v>Cleveland</v>
      </c>
      <c r="N782">
        <f>_xlfn.XLOOKUP(calls[[#This Row],[Customer ID]],customers[Customer ID],customers[Age])</f>
        <v>37</v>
      </c>
      <c r="O782" t="str">
        <f>_xlfn.XLOOKUP(calls[[#This Row],[Customer ID]],customers[Customer ID],customers[Gender])</f>
        <v>Female</v>
      </c>
    </row>
    <row r="783" spans="2:15" x14ac:dyDescent="0.55000000000000004">
      <c r="B783" t="s">
        <v>805</v>
      </c>
      <c r="C783" t="s">
        <v>19</v>
      </c>
      <c r="D783">
        <v>82</v>
      </c>
      <c r="E783" s="16" t="s">
        <v>9</v>
      </c>
      <c r="F783" s="17">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t="str">
        <f>_xlfn.XLOOKUP(calls[[#This Row],[Customer ID]],customers[Customer ID],customers[City])</f>
        <v>Cleveland</v>
      </c>
      <c r="N783">
        <f>_xlfn.XLOOKUP(calls[[#This Row],[Customer ID]],customers[Customer ID],customers[Age])</f>
        <v>43</v>
      </c>
      <c r="O783" t="str">
        <f>_xlfn.XLOOKUP(calls[[#This Row],[Customer ID]],customers[Customer ID],customers[Gender])</f>
        <v>Female</v>
      </c>
    </row>
    <row r="784" spans="2:15" x14ac:dyDescent="0.55000000000000004">
      <c r="B784" t="s">
        <v>806</v>
      </c>
      <c r="C784" t="s">
        <v>18</v>
      </c>
      <c r="D784">
        <v>149</v>
      </c>
      <c r="E784" s="16" t="s">
        <v>11</v>
      </c>
      <c r="F784" s="17">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t="str">
        <f>_xlfn.XLOOKUP(calls[[#This Row],[Customer ID]],customers[Customer ID],customers[City])</f>
        <v>Cleveland</v>
      </c>
      <c r="N784">
        <f>_xlfn.XLOOKUP(calls[[#This Row],[Customer ID]],customers[Customer ID],customers[Age])</f>
        <v>30</v>
      </c>
      <c r="O784" t="str">
        <f>_xlfn.XLOOKUP(calls[[#This Row],[Customer ID]],customers[Customer ID],customers[Gender])</f>
        <v>Female</v>
      </c>
    </row>
    <row r="785" spans="2:15" x14ac:dyDescent="0.55000000000000004">
      <c r="B785" t="s">
        <v>807</v>
      </c>
      <c r="C785" t="s">
        <v>15</v>
      </c>
      <c r="D785">
        <v>56</v>
      </c>
      <c r="E785" s="16" t="s">
        <v>6</v>
      </c>
      <c r="F785" s="17">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t="str">
        <f>_xlfn.XLOOKUP(calls[[#This Row],[Customer ID]],customers[Customer ID],customers[City])</f>
        <v>Cleveland</v>
      </c>
      <c r="N785">
        <f>_xlfn.XLOOKUP(calls[[#This Row],[Customer ID]],customers[Customer ID],customers[Age])</f>
        <v>22</v>
      </c>
      <c r="O785" t="str">
        <f>_xlfn.XLOOKUP(calls[[#This Row],[Customer ID]],customers[Customer ID],customers[Gender])</f>
        <v>Female</v>
      </c>
    </row>
    <row r="786" spans="2:15" x14ac:dyDescent="0.55000000000000004">
      <c r="B786" t="s">
        <v>808</v>
      </c>
      <c r="C786" t="s">
        <v>8</v>
      </c>
      <c r="D786">
        <v>80</v>
      </c>
      <c r="E786" s="16" t="s">
        <v>11</v>
      </c>
      <c r="F786" s="17">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t="str">
        <f>_xlfn.XLOOKUP(calls[[#This Row],[Customer ID]],customers[Customer ID],customers[City])</f>
        <v>Cincinnati</v>
      </c>
      <c r="N786">
        <f>_xlfn.XLOOKUP(calls[[#This Row],[Customer ID]],customers[Customer ID],customers[Age])</f>
        <v>30</v>
      </c>
      <c r="O786" t="str">
        <f>_xlfn.XLOOKUP(calls[[#This Row],[Customer ID]],customers[Customer ID],customers[Gender])</f>
        <v>Female</v>
      </c>
    </row>
    <row r="787" spans="2:15" x14ac:dyDescent="0.55000000000000004">
      <c r="B787" t="s">
        <v>809</v>
      </c>
      <c r="C787" t="s">
        <v>5</v>
      </c>
      <c r="D787">
        <v>131</v>
      </c>
      <c r="E787" s="16" t="s">
        <v>10</v>
      </c>
      <c r="F787" s="17">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t="str">
        <f>_xlfn.XLOOKUP(calls[[#This Row],[Customer ID]],customers[Customer ID],customers[City])</f>
        <v>Cleveland</v>
      </c>
      <c r="N787">
        <f>_xlfn.XLOOKUP(calls[[#This Row],[Customer ID]],customers[Customer ID],customers[Age])</f>
        <v>42</v>
      </c>
      <c r="O787" t="str">
        <f>_xlfn.XLOOKUP(calls[[#This Row],[Customer ID]],customers[Customer ID],customers[Gender])</f>
        <v>Female</v>
      </c>
    </row>
    <row r="788" spans="2:15" x14ac:dyDescent="0.55000000000000004">
      <c r="B788" t="s">
        <v>810</v>
      </c>
      <c r="C788" t="s">
        <v>5</v>
      </c>
      <c r="D788">
        <v>109</v>
      </c>
      <c r="E788" s="16" t="s">
        <v>10</v>
      </c>
      <c r="F788" s="17">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t="str">
        <f>_xlfn.XLOOKUP(calls[[#This Row],[Customer ID]],customers[Customer ID],customers[City])</f>
        <v>Cleveland</v>
      </c>
      <c r="N788">
        <f>_xlfn.XLOOKUP(calls[[#This Row],[Customer ID]],customers[Customer ID],customers[Age])</f>
        <v>42</v>
      </c>
      <c r="O788" t="str">
        <f>_xlfn.XLOOKUP(calls[[#This Row],[Customer ID]],customers[Customer ID],customers[Gender])</f>
        <v>Female</v>
      </c>
    </row>
    <row r="789" spans="2:15" x14ac:dyDescent="0.55000000000000004">
      <c r="B789" t="s">
        <v>811</v>
      </c>
      <c r="C789" t="s">
        <v>15</v>
      </c>
      <c r="D789">
        <v>142</v>
      </c>
      <c r="E789" s="16" t="s">
        <v>10</v>
      </c>
      <c r="F789" s="17">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t="str">
        <f>_xlfn.XLOOKUP(calls[[#This Row],[Customer ID]],customers[Customer ID],customers[City])</f>
        <v>Cleveland</v>
      </c>
      <c r="N789">
        <f>_xlfn.XLOOKUP(calls[[#This Row],[Customer ID]],customers[Customer ID],customers[Age])</f>
        <v>22</v>
      </c>
      <c r="O789" t="str">
        <f>_xlfn.XLOOKUP(calls[[#This Row],[Customer ID]],customers[Customer ID],customers[Gender])</f>
        <v>Female</v>
      </c>
    </row>
    <row r="790" spans="2:15" x14ac:dyDescent="0.55000000000000004">
      <c r="B790" t="s">
        <v>812</v>
      </c>
      <c r="C790" t="s">
        <v>22</v>
      </c>
      <c r="D790">
        <v>114</v>
      </c>
      <c r="E790" s="16" t="s">
        <v>6</v>
      </c>
      <c r="F790" s="17">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t="str">
        <f>_xlfn.XLOOKUP(calls[[#This Row],[Customer ID]],customers[Customer ID],customers[City])</f>
        <v>Columbus</v>
      </c>
      <c r="N790">
        <f>_xlfn.XLOOKUP(calls[[#This Row],[Customer ID]],customers[Customer ID],customers[Age])</f>
        <v>25</v>
      </c>
      <c r="O790" t="str">
        <f>_xlfn.XLOOKUP(calls[[#This Row],[Customer ID]],customers[Customer ID],customers[Gender])</f>
        <v>Female</v>
      </c>
    </row>
    <row r="791" spans="2:15" x14ac:dyDescent="0.55000000000000004">
      <c r="B791" t="s">
        <v>813</v>
      </c>
      <c r="C791" t="s">
        <v>21</v>
      </c>
      <c r="D791">
        <v>93</v>
      </c>
      <c r="E791" s="16" t="s">
        <v>11</v>
      </c>
      <c r="F791" s="17">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t="str">
        <f>_xlfn.XLOOKUP(calls[[#This Row],[Customer ID]],customers[Customer ID],customers[City])</f>
        <v>Columbus</v>
      </c>
      <c r="N791">
        <f>_xlfn.XLOOKUP(calls[[#This Row],[Customer ID]],customers[Customer ID],customers[Age])</f>
        <v>38</v>
      </c>
      <c r="O791" t="str">
        <f>_xlfn.XLOOKUP(calls[[#This Row],[Customer ID]],customers[Customer ID],customers[Gender])</f>
        <v>Female</v>
      </c>
    </row>
    <row r="792" spans="2:15" x14ac:dyDescent="0.55000000000000004">
      <c r="B792" t="s">
        <v>814</v>
      </c>
      <c r="C792" t="s">
        <v>17</v>
      </c>
      <c r="D792">
        <v>43</v>
      </c>
      <c r="E792" s="16" t="s">
        <v>11</v>
      </c>
      <c r="F792" s="17">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t="str">
        <f>_xlfn.XLOOKUP(calls[[#This Row],[Customer ID]],customers[Customer ID],customers[City])</f>
        <v>Columbus</v>
      </c>
      <c r="N792">
        <f>_xlfn.XLOOKUP(calls[[#This Row],[Customer ID]],customers[Customer ID],customers[Age])</f>
        <v>41</v>
      </c>
      <c r="O792" t="str">
        <f>_xlfn.XLOOKUP(calls[[#This Row],[Customer ID]],customers[Customer ID],customers[Gender])</f>
        <v>Male</v>
      </c>
    </row>
    <row r="793" spans="2:15" x14ac:dyDescent="0.55000000000000004">
      <c r="B793" t="s">
        <v>815</v>
      </c>
      <c r="C793" t="s">
        <v>24</v>
      </c>
      <c r="D793">
        <v>78</v>
      </c>
      <c r="E793" s="16" t="s">
        <v>13</v>
      </c>
      <c r="F793" s="17">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t="str">
        <f>_xlfn.XLOOKUP(calls[[#This Row],[Customer ID]],customers[Customer ID],customers[City])</f>
        <v>Cleveland</v>
      </c>
      <c r="N793">
        <f>_xlfn.XLOOKUP(calls[[#This Row],[Customer ID]],customers[Customer ID],customers[Age])</f>
        <v>31</v>
      </c>
      <c r="O793" t="str">
        <f>_xlfn.XLOOKUP(calls[[#This Row],[Customer ID]],customers[Customer ID],customers[Gender])</f>
        <v>Male</v>
      </c>
    </row>
    <row r="794" spans="2:15" x14ac:dyDescent="0.55000000000000004">
      <c r="B794" t="s">
        <v>816</v>
      </c>
      <c r="C794" t="s">
        <v>22</v>
      </c>
      <c r="D794">
        <v>89</v>
      </c>
      <c r="E794" s="16" t="s">
        <v>10</v>
      </c>
      <c r="F794" s="17">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t="str">
        <f>_xlfn.XLOOKUP(calls[[#This Row],[Customer ID]],customers[Customer ID],customers[City])</f>
        <v>Columbus</v>
      </c>
      <c r="N794">
        <f>_xlfn.XLOOKUP(calls[[#This Row],[Customer ID]],customers[Customer ID],customers[Age])</f>
        <v>25</v>
      </c>
      <c r="O794" t="str">
        <f>_xlfn.XLOOKUP(calls[[#This Row],[Customer ID]],customers[Customer ID],customers[Gender])</f>
        <v>Female</v>
      </c>
    </row>
    <row r="795" spans="2:15" x14ac:dyDescent="0.55000000000000004">
      <c r="B795" t="s">
        <v>817</v>
      </c>
      <c r="C795" t="s">
        <v>15</v>
      </c>
      <c r="D795">
        <v>82</v>
      </c>
      <c r="E795" s="16" t="s">
        <v>9</v>
      </c>
      <c r="F795" s="17">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t="str">
        <f>_xlfn.XLOOKUP(calls[[#This Row],[Customer ID]],customers[Customer ID],customers[City])</f>
        <v>Cleveland</v>
      </c>
      <c r="N795">
        <f>_xlfn.XLOOKUP(calls[[#This Row],[Customer ID]],customers[Customer ID],customers[Age])</f>
        <v>22</v>
      </c>
      <c r="O795" t="str">
        <f>_xlfn.XLOOKUP(calls[[#This Row],[Customer ID]],customers[Customer ID],customers[Gender])</f>
        <v>Female</v>
      </c>
    </row>
    <row r="796" spans="2:15" x14ac:dyDescent="0.55000000000000004">
      <c r="B796" t="s">
        <v>818</v>
      </c>
      <c r="C796" t="s">
        <v>8</v>
      </c>
      <c r="D796">
        <v>86</v>
      </c>
      <c r="E796" s="16" t="s">
        <v>10</v>
      </c>
      <c r="F796" s="17">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t="str">
        <f>_xlfn.XLOOKUP(calls[[#This Row],[Customer ID]],customers[Customer ID],customers[City])</f>
        <v>Cincinnati</v>
      </c>
      <c r="N796">
        <f>_xlfn.XLOOKUP(calls[[#This Row],[Customer ID]],customers[Customer ID],customers[Age])</f>
        <v>30</v>
      </c>
      <c r="O796" t="str">
        <f>_xlfn.XLOOKUP(calls[[#This Row],[Customer ID]],customers[Customer ID],customers[Gender])</f>
        <v>Female</v>
      </c>
    </row>
    <row r="797" spans="2:15" x14ac:dyDescent="0.55000000000000004">
      <c r="B797" t="s">
        <v>819</v>
      </c>
      <c r="C797" t="s">
        <v>16</v>
      </c>
      <c r="D797">
        <v>57</v>
      </c>
      <c r="E797" s="16" t="s">
        <v>13</v>
      </c>
      <c r="F797" s="17">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t="str">
        <f>_xlfn.XLOOKUP(calls[[#This Row],[Customer ID]],customers[Customer ID],customers[City])</f>
        <v>Cincinnati</v>
      </c>
      <c r="N797">
        <f>_xlfn.XLOOKUP(calls[[#This Row],[Customer ID]],customers[Customer ID],customers[Age])</f>
        <v>28</v>
      </c>
      <c r="O797" t="str">
        <f>_xlfn.XLOOKUP(calls[[#This Row],[Customer ID]],customers[Customer ID],customers[Gender])</f>
        <v>Female</v>
      </c>
    </row>
    <row r="798" spans="2:15" x14ac:dyDescent="0.55000000000000004">
      <c r="B798" t="s">
        <v>820</v>
      </c>
      <c r="C798" t="s">
        <v>21</v>
      </c>
      <c r="D798">
        <v>103</v>
      </c>
      <c r="E798" s="16" t="s">
        <v>6</v>
      </c>
      <c r="F798" s="17">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t="str">
        <f>_xlfn.XLOOKUP(calls[[#This Row],[Customer ID]],customers[Customer ID],customers[City])</f>
        <v>Columbus</v>
      </c>
      <c r="N798">
        <f>_xlfn.XLOOKUP(calls[[#This Row],[Customer ID]],customers[Customer ID],customers[Age])</f>
        <v>38</v>
      </c>
      <c r="O798" t="str">
        <f>_xlfn.XLOOKUP(calls[[#This Row],[Customer ID]],customers[Customer ID],customers[Gender])</f>
        <v>Female</v>
      </c>
    </row>
    <row r="799" spans="2:15" x14ac:dyDescent="0.55000000000000004">
      <c r="B799" t="s">
        <v>821</v>
      </c>
      <c r="C799" t="s">
        <v>14</v>
      </c>
      <c r="D799">
        <v>138</v>
      </c>
      <c r="E799" s="16" t="s">
        <v>13</v>
      </c>
      <c r="F799" s="17">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t="str">
        <f>_xlfn.XLOOKUP(calls[[#This Row],[Customer ID]],customers[Customer ID],customers[City])</f>
        <v>Cleveland</v>
      </c>
      <c r="N799">
        <f>_xlfn.XLOOKUP(calls[[#This Row],[Customer ID]],customers[Customer ID],customers[Age])</f>
        <v>37</v>
      </c>
      <c r="O799" t="str">
        <f>_xlfn.XLOOKUP(calls[[#This Row],[Customer ID]],customers[Customer ID],customers[Gender])</f>
        <v>Female</v>
      </c>
    </row>
    <row r="800" spans="2:15" x14ac:dyDescent="0.55000000000000004">
      <c r="B800" t="s">
        <v>822</v>
      </c>
      <c r="C800" t="s">
        <v>18</v>
      </c>
      <c r="D800">
        <v>88</v>
      </c>
      <c r="E800" s="16" t="s">
        <v>9</v>
      </c>
      <c r="F800" s="17">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t="str">
        <f>_xlfn.XLOOKUP(calls[[#This Row],[Customer ID]],customers[Customer ID],customers[City])</f>
        <v>Cleveland</v>
      </c>
      <c r="N800">
        <f>_xlfn.XLOOKUP(calls[[#This Row],[Customer ID]],customers[Customer ID],customers[Age])</f>
        <v>30</v>
      </c>
      <c r="O800" t="str">
        <f>_xlfn.XLOOKUP(calls[[#This Row],[Customer ID]],customers[Customer ID],customers[Gender])</f>
        <v>Female</v>
      </c>
    </row>
    <row r="801" spans="2:15" x14ac:dyDescent="0.55000000000000004">
      <c r="B801" t="s">
        <v>823</v>
      </c>
      <c r="C801" t="s">
        <v>22</v>
      </c>
      <c r="D801">
        <v>118</v>
      </c>
      <c r="E801" s="16" t="s">
        <v>11</v>
      </c>
      <c r="F801" s="17">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t="str">
        <f>_xlfn.XLOOKUP(calls[[#This Row],[Customer ID]],customers[Customer ID],customers[City])</f>
        <v>Columbus</v>
      </c>
      <c r="N801">
        <f>_xlfn.XLOOKUP(calls[[#This Row],[Customer ID]],customers[Customer ID],customers[Age])</f>
        <v>25</v>
      </c>
      <c r="O801" t="str">
        <f>_xlfn.XLOOKUP(calls[[#This Row],[Customer ID]],customers[Customer ID],customers[Gender])</f>
        <v>Female</v>
      </c>
    </row>
    <row r="802" spans="2:15" x14ac:dyDescent="0.55000000000000004">
      <c r="B802" t="s">
        <v>824</v>
      </c>
      <c r="C802" t="s">
        <v>8</v>
      </c>
      <c r="D802">
        <v>4</v>
      </c>
      <c r="E802" s="16" t="s">
        <v>10</v>
      </c>
      <c r="F802" s="17">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t="str">
        <f>_xlfn.XLOOKUP(calls[[#This Row],[Customer ID]],customers[Customer ID],customers[City])</f>
        <v>Cincinnati</v>
      </c>
      <c r="N802">
        <f>_xlfn.XLOOKUP(calls[[#This Row],[Customer ID]],customers[Customer ID],customers[Age])</f>
        <v>30</v>
      </c>
      <c r="O802" t="str">
        <f>_xlfn.XLOOKUP(calls[[#This Row],[Customer ID]],customers[Customer ID],customers[Gender])</f>
        <v>Female</v>
      </c>
    </row>
    <row r="803" spans="2:15" x14ac:dyDescent="0.55000000000000004">
      <c r="B803" t="s">
        <v>825</v>
      </c>
      <c r="C803" t="s">
        <v>17</v>
      </c>
      <c r="D803">
        <v>78</v>
      </c>
      <c r="E803" s="16" t="s">
        <v>6</v>
      </c>
      <c r="F803" s="17">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t="str">
        <f>_xlfn.XLOOKUP(calls[[#This Row],[Customer ID]],customers[Customer ID],customers[City])</f>
        <v>Columbus</v>
      </c>
      <c r="N803">
        <f>_xlfn.XLOOKUP(calls[[#This Row],[Customer ID]],customers[Customer ID],customers[Age])</f>
        <v>41</v>
      </c>
      <c r="O803" t="str">
        <f>_xlfn.XLOOKUP(calls[[#This Row],[Customer ID]],customers[Customer ID],customers[Gender])</f>
        <v>Male</v>
      </c>
    </row>
    <row r="804" spans="2:15" x14ac:dyDescent="0.55000000000000004">
      <c r="B804" t="s">
        <v>826</v>
      </c>
      <c r="C804" t="s">
        <v>7</v>
      </c>
      <c r="D804">
        <v>69</v>
      </c>
      <c r="E804" s="16" t="s">
        <v>10</v>
      </c>
      <c r="F804" s="17">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t="str">
        <f>_xlfn.XLOOKUP(calls[[#This Row],[Customer ID]],customers[Customer ID],customers[City])</f>
        <v>Columbus</v>
      </c>
      <c r="N804">
        <f>_xlfn.XLOOKUP(calls[[#This Row],[Customer ID]],customers[Customer ID],customers[Age])</f>
        <v>23</v>
      </c>
      <c r="O804" t="str">
        <f>_xlfn.XLOOKUP(calls[[#This Row],[Customer ID]],customers[Customer ID],customers[Gender])</f>
        <v>Male</v>
      </c>
    </row>
    <row r="805" spans="2:15" x14ac:dyDescent="0.55000000000000004">
      <c r="B805" t="s">
        <v>827</v>
      </c>
      <c r="C805" t="s">
        <v>15</v>
      </c>
      <c r="D805">
        <v>90</v>
      </c>
      <c r="E805" s="16" t="s">
        <v>13</v>
      </c>
      <c r="F805" s="17">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t="str">
        <f>_xlfn.XLOOKUP(calls[[#This Row],[Customer ID]],customers[Customer ID],customers[City])</f>
        <v>Cleveland</v>
      </c>
      <c r="N805">
        <f>_xlfn.XLOOKUP(calls[[#This Row],[Customer ID]],customers[Customer ID],customers[Age])</f>
        <v>22</v>
      </c>
      <c r="O805" t="str">
        <f>_xlfn.XLOOKUP(calls[[#This Row],[Customer ID]],customers[Customer ID],customers[Gender])</f>
        <v>Female</v>
      </c>
    </row>
    <row r="806" spans="2:15" x14ac:dyDescent="0.55000000000000004">
      <c r="B806" t="s">
        <v>828</v>
      </c>
      <c r="C806" t="s">
        <v>7</v>
      </c>
      <c r="D806">
        <v>134</v>
      </c>
      <c r="E806" s="16" t="s">
        <v>10</v>
      </c>
      <c r="F806" s="17">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t="str">
        <f>_xlfn.XLOOKUP(calls[[#This Row],[Customer ID]],customers[Customer ID],customers[City])</f>
        <v>Columbus</v>
      </c>
      <c r="N806">
        <f>_xlfn.XLOOKUP(calls[[#This Row],[Customer ID]],customers[Customer ID],customers[Age])</f>
        <v>23</v>
      </c>
      <c r="O806" t="str">
        <f>_xlfn.XLOOKUP(calls[[#This Row],[Customer ID]],customers[Customer ID],customers[Gender])</f>
        <v>Male</v>
      </c>
    </row>
    <row r="807" spans="2:15" x14ac:dyDescent="0.55000000000000004">
      <c r="B807" t="s">
        <v>829</v>
      </c>
      <c r="C807" t="s">
        <v>12</v>
      </c>
      <c r="D807">
        <v>65</v>
      </c>
      <c r="E807" s="16" t="s">
        <v>11</v>
      </c>
      <c r="F807" s="17">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t="str">
        <f>_xlfn.XLOOKUP(calls[[#This Row],[Customer ID]],customers[Customer ID],customers[City])</f>
        <v>Cincinnati</v>
      </c>
      <c r="N807">
        <f>_xlfn.XLOOKUP(calls[[#This Row],[Customer ID]],customers[Customer ID],customers[Age])</f>
        <v>36</v>
      </c>
      <c r="O807" t="str">
        <f>_xlfn.XLOOKUP(calls[[#This Row],[Customer ID]],customers[Customer ID],customers[Gender])</f>
        <v>Male</v>
      </c>
    </row>
    <row r="808" spans="2:15" x14ac:dyDescent="0.55000000000000004">
      <c r="B808" t="s">
        <v>830</v>
      </c>
      <c r="C808" t="s">
        <v>23</v>
      </c>
      <c r="D808">
        <v>54</v>
      </c>
      <c r="E808" s="16" t="s">
        <v>6</v>
      </c>
      <c r="F808" s="17">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t="str">
        <f>_xlfn.XLOOKUP(calls[[#This Row],[Customer ID]],customers[Customer ID],customers[City])</f>
        <v>Columbus</v>
      </c>
      <c r="N808">
        <f>_xlfn.XLOOKUP(calls[[#This Row],[Customer ID]],customers[Customer ID],customers[Age])</f>
        <v>37</v>
      </c>
      <c r="O808" t="str">
        <f>_xlfn.XLOOKUP(calls[[#This Row],[Customer ID]],customers[Customer ID],customers[Gender])</f>
        <v>Male</v>
      </c>
    </row>
    <row r="809" spans="2:15" x14ac:dyDescent="0.55000000000000004">
      <c r="B809" t="s">
        <v>831</v>
      </c>
      <c r="C809" t="s">
        <v>23</v>
      </c>
      <c r="D809">
        <v>90</v>
      </c>
      <c r="E809" s="16" t="s">
        <v>6</v>
      </c>
      <c r="F809" s="17">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t="str">
        <f>_xlfn.XLOOKUP(calls[[#This Row],[Customer ID]],customers[Customer ID],customers[City])</f>
        <v>Columbus</v>
      </c>
      <c r="N809">
        <f>_xlfn.XLOOKUP(calls[[#This Row],[Customer ID]],customers[Customer ID],customers[Age])</f>
        <v>37</v>
      </c>
      <c r="O809" t="str">
        <f>_xlfn.XLOOKUP(calls[[#This Row],[Customer ID]],customers[Customer ID],customers[Gender])</f>
        <v>Male</v>
      </c>
    </row>
    <row r="810" spans="2:15" x14ac:dyDescent="0.55000000000000004">
      <c r="B810" t="s">
        <v>832</v>
      </c>
      <c r="C810" t="s">
        <v>15</v>
      </c>
      <c r="D810">
        <v>66</v>
      </c>
      <c r="E810" s="16" t="s">
        <v>6</v>
      </c>
      <c r="F810" s="17">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t="str">
        <f>_xlfn.XLOOKUP(calls[[#This Row],[Customer ID]],customers[Customer ID],customers[City])</f>
        <v>Cleveland</v>
      </c>
      <c r="N810">
        <f>_xlfn.XLOOKUP(calls[[#This Row],[Customer ID]],customers[Customer ID],customers[Age])</f>
        <v>22</v>
      </c>
      <c r="O810" t="str">
        <f>_xlfn.XLOOKUP(calls[[#This Row],[Customer ID]],customers[Customer ID],customers[Gender])</f>
        <v>Female</v>
      </c>
    </row>
    <row r="811" spans="2:15" x14ac:dyDescent="0.55000000000000004">
      <c r="B811" t="s">
        <v>833</v>
      </c>
      <c r="C811" t="s">
        <v>8</v>
      </c>
      <c r="D811">
        <v>150</v>
      </c>
      <c r="E811" s="16" t="s">
        <v>6</v>
      </c>
      <c r="F811" s="17">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t="str">
        <f>_xlfn.XLOOKUP(calls[[#This Row],[Customer ID]],customers[Customer ID],customers[City])</f>
        <v>Cincinnati</v>
      </c>
      <c r="N811">
        <f>_xlfn.XLOOKUP(calls[[#This Row],[Customer ID]],customers[Customer ID],customers[Age])</f>
        <v>30</v>
      </c>
      <c r="O811" t="str">
        <f>_xlfn.XLOOKUP(calls[[#This Row],[Customer ID]],customers[Customer ID],customers[Gender])</f>
        <v>Female</v>
      </c>
    </row>
    <row r="812" spans="2:15" x14ac:dyDescent="0.55000000000000004">
      <c r="B812" t="s">
        <v>834</v>
      </c>
      <c r="C812" t="s">
        <v>24</v>
      </c>
      <c r="D812">
        <v>18</v>
      </c>
      <c r="E812" s="16" t="s">
        <v>11</v>
      </c>
      <c r="F812" s="17">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t="str">
        <f>_xlfn.XLOOKUP(calls[[#This Row],[Customer ID]],customers[Customer ID],customers[City])</f>
        <v>Cleveland</v>
      </c>
      <c r="N812">
        <f>_xlfn.XLOOKUP(calls[[#This Row],[Customer ID]],customers[Customer ID],customers[Age])</f>
        <v>31</v>
      </c>
      <c r="O812" t="str">
        <f>_xlfn.XLOOKUP(calls[[#This Row],[Customer ID]],customers[Customer ID],customers[Gender])</f>
        <v>Male</v>
      </c>
    </row>
    <row r="813" spans="2:15" x14ac:dyDescent="0.55000000000000004">
      <c r="B813" t="s">
        <v>835</v>
      </c>
      <c r="C813" t="s">
        <v>23</v>
      </c>
      <c r="D813">
        <v>87</v>
      </c>
      <c r="E813" s="16" t="s">
        <v>11</v>
      </c>
      <c r="F813" s="17">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t="str">
        <f>_xlfn.XLOOKUP(calls[[#This Row],[Customer ID]],customers[Customer ID],customers[City])</f>
        <v>Columbus</v>
      </c>
      <c r="N813">
        <f>_xlfn.XLOOKUP(calls[[#This Row],[Customer ID]],customers[Customer ID],customers[Age])</f>
        <v>37</v>
      </c>
      <c r="O813" t="str">
        <f>_xlfn.XLOOKUP(calls[[#This Row],[Customer ID]],customers[Customer ID],customers[Gender])</f>
        <v>Male</v>
      </c>
    </row>
    <row r="814" spans="2:15" x14ac:dyDescent="0.55000000000000004">
      <c r="B814" t="s">
        <v>836</v>
      </c>
      <c r="C814" t="s">
        <v>14</v>
      </c>
      <c r="D814">
        <v>94</v>
      </c>
      <c r="E814" s="16" t="s">
        <v>6</v>
      </c>
      <c r="F814" s="17">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t="str">
        <f>_xlfn.XLOOKUP(calls[[#This Row],[Customer ID]],customers[Customer ID],customers[City])</f>
        <v>Cleveland</v>
      </c>
      <c r="N814">
        <f>_xlfn.XLOOKUP(calls[[#This Row],[Customer ID]],customers[Customer ID],customers[Age])</f>
        <v>37</v>
      </c>
      <c r="O814" t="str">
        <f>_xlfn.XLOOKUP(calls[[#This Row],[Customer ID]],customers[Customer ID],customers[Gender])</f>
        <v>Female</v>
      </c>
    </row>
    <row r="815" spans="2:15" x14ac:dyDescent="0.55000000000000004">
      <c r="B815" t="s">
        <v>837</v>
      </c>
      <c r="C815" t="s">
        <v>16</v>
      </c>
      <c r="D815">
        <v>56</v>
      </c>
      <c r="E815" s="16" t="s">
        <v>6</v>
      </c>
      <c r="F815" s="17">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t="str">
        <f>_xlfn.XLOOKUP(calls[[#This Row],[Customer ID]],customers[Customer ID],customers[City])</f>
        <v>Cincinnati</v>
      </c>
      <c r="N815">
        <f>_xlfn.XLOOKUP(calls[[#This Row],[Customer ID]],customers[Customer ID],customers[Age])</f>
        <v>28</v>
      </c>
      <c r="O815" t="str">
        <f>_xlfn.XLOOKUP(calls[[#This Row],[Customer ID]],customers[Customer ID],customers[Gender])</f>
        <v>Female</v>
      </c>
    </row>
    <row r="816" spans="2:15" x14ac:dyDescent="0.55000000000000004">
      <c r="B816" t="s">
        <v>838</v>
      </c>
      <c r="C816" t="s">
        <v>22</v>
      </c>
      <c r="D816">
        <v>41</v>
      </c>
      <c r="E816" s="16" t="s">
        <v>9</v>
      </c>
      <c r="F816" s="17">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t="str">
        <f>_xlfn.XLOOKUP(calls[[#This Row],[Customer ID]],customers[Customer ID],customers[City])</f>
        <v>Columbus</v>
      </c>
      <c r="N816">
        <f>_xlfn.XLOOKUP(calls[[#This Row],[Customer ID]],customers[Customer ID],customers[Age])</f>
        <v>25</v>
      </c>
      <c r="O816" t="str">
        <f>_xlfn.XLOOKUP(calls[[#This Row],[Customer ID]],customers[Customer ID],customers[Gender])</f>
        <v>Female</v>
      </c>
    </row>
    <row r="817" spans="2:15" x14ac:dyDescent="0.55000000000000004">
      <c r="B817" t="s">
        <v>839</v>
      </c>
      <c r="C817" t="s">
        <v>8</v>
      </c>
      <c r="D817">
        <v>119</v>
      </c>
      <c r="E817" s="16" t="s">
        <v>13</v>
      </c>
      <c r="F817" s="17">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t="str">
        <f>_xlfn.XLOOKUP(calls[[#This Row],[Customer ID]],customers[Customer ID],customers[City])</f>
        <v>Cincinnati</v>
      </c>
      <c r="N817">
        <f>_xlfn.XLOOKUP(calls[[#This Row],[Customer ID]],customers[Customer ID],customers[Age])</f>
        <v>30</v>
      </c>
      <c r="O817" t="str">
        <f>_xlfn.XLOOKUP(calls[[#This Row],[Customer ID]],customers[Customer ID],customers[Gender])</f>
        <v>Female</v>
      </c>
    </row>
    <row r="818" spans="2:15" x14ac:dyDescent="0.55000000000000004">
      <c r="B818" t="s">
        <v>840</v>
      </c>
      <c r="C818" t="s">
        <v>21</v>
      </c>
      <c r="D818">
        <v>108</v>
      </c>
      <c r="E818" s="16" t="s">
        <v>6</v>
      </c>
      <c r="F818" s="17">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t="str">
        <f>_xlfn.XLOOKUP(calls[[#This Row],[Customer ID]],customers[Customer ID],customers[City])</f>
        <v>Columbus</v>
      </c>
      <c r="N818">
        <f>_xlfn.XLOOKUP(calls[[#This Row],[Customer ID]],customers[Customer ID],customers[Age])</f>
        <v>38</v>
      </c>
      <c r="O818" t="str">
        <f>_xlfn.XLOOKUP(calls[[#This Row],[Customer ID]],customers[Customer ID],customers[Gender])</f>
        <v>Female</v>
      </c>
    </row>
    <row r="819" spans="2:15" x14ac:dyDescent="0.55000000000000004">
      <c r="B819" t="s">
        <v>841</v>
      </c>
      <c r="C819" t="s">
        <v>17</v>
      </c>
      <c r="D819">
        <v>63</v>
      </c>
      <c r="E819" s="16" t="s">
        <v>10</v>
      </c>
      <c r="F819" s="17">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t="str">
        <f>_xlfn.XLOOKUP(calls[[#This Row],[Customer ID]],customers[Customer ID],customers[City])</f>
        <v>Columbus</v>
      </c>
      <c r="N819">
        <f>_xlfn.XLOOKUP(calls[[#This Row],[Customer ID]],customers[Customer ID],customers[Age])</f>
        <v>41</v>
      </c>
      <c r="O819" t="str">
        <f>_xlfn.XLOOKUP(calls[[#This Row],[Customer ID]],customers[Customer ID],customers[Gender])</f>
        <v>Male</v>
      </c>
    </row>
    <row r="820" spans="2:15" x14ac:dyDescent="0.55000000000000004">
      <c r="B820" t="s">
        <v>842</v>
      </c>
      <c r="C820" t="s">
        <v>19</v>
      </c>
      <c r="D820">
        <v>59</v>
      </c>
      <c r="E820" s="16" t="s">
        <v>6</v>
      </c>
      <c r="F820" s="17">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t="str">
        <f>_xlfn.XLOOKUP(calls[[#This Row],[Customer ID]],customers[Customer ID],customers[City])</f>
        <v>Cleveland</v>
      </c>
      <c r="N820">
        <f>_xlfn.XLOOKUP(calls[[#This Row],[Customer ID]],customers[Customer ID],customers[Age])</f>
        <v>43</v>
      </c>
      <c r="O820" t="str">
        <f>_xlfn.XLOOKUP(calls[[#This Row],[Customer ID]],customers[Customer ID],customers[Gender])</f>
        <v>Female</v>
      </c>
    </row>
    <row r="821" spans="2:15" x14ac:dyDescent="0.55000000000000004">
      <c r="B821" t="s">
        <v>843</v>
      </c>
      <c r="C821" t="s">
        <v>19</v>
      </c>
      <c r="D821">
        <v>90</v>
      </c>
      <c r="E821" s="16" t="s">
        <v>9</v>
      </c>
      <c r="F821" s="17">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t="str">
        <f>_xlfn.XLOOKUP(calls[[#This Row],[Customer ID]],customers[Customer ID],customers[City])</f>
        <v>Cleveland</v>
      </c>
      <c r="N821">
        <f>_xlfn.XLOOKUP(calls[[#This Row],[Customer ID]],customers[Customer ID],customers[Age])</f>
        <v>43</v>
      </c>
      <c r="O821" t="str">
        <f>_xlfn.XLOOKUP(calls[[#This Row],[Customer ID]],customers[Customer ID],customers[Gender])</f>
        <v>Female</v>
      </c>
    </row>
    <row r="822" spans="2:15" x14ac:dyDescent="0.55000000000000004">
      <c r="B822" t="s">
        <v>844</v>
      </c>
      <c r="C822" t="s">
        <v>18</v>
      </c>
      <c r="D822">
        <v>55</v>
      </c>
      <c r="E822" s="16" t="s">
        <v>9</v>
      </c>
      <c r="F822" s="17">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t="str">
        <f>_xlfn.XLOOKUP(calls[[#This Row],[Customer ID]],customers[Customer ID],customers[City])</f>
        <v>Cleveland</v>
      </c>
      <c r="N822">
        <f>_xlfn.XLOOKUP(calls[[#This Row],[Customer ID]],customers[Customer ID],customers[Age])</f>
        <v>30</v>
      </c>
      <c r="O822" t="str">
        <f>_xlfn.XLOOKUP(calls[[#This Row],[Customer ID]],customers[Customer ID],customers[Gender])</f>
        <v>Female</v>
      </c>
    </row>
    <row r="823" spans="2:15" x14ac:dyDescent="0.55000000000000004">
      <c r="B823" t="s">
        <v>845</v>
      </c>
      <c r="C823" t="s">
        <v>21</v>
      </c>
      <c r="D823">
        <v>84</v>
      </c>
      <c r="E823" s="16" t="s">
        <v>13</v>
      </c>
      <c r="F823" s="17">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t="str">
        <f>_xlfn.XLOOKUP(calls[[#This Row],[Customer ID]],customers[Customer ID],customers[City])</f>
        <v>Columbus</v>
      </c>
      <c r="N823">
        <f>_xlfn.XLOOKUP(calls[[#This Row],[Customer ID]],customers[Customer ID],customers[Age])</f>
        <v>38</v>
      </c>
      <c r="O823" t="str">
        <f>_xlfn.XLOOKUP(calls[[#This Row],[Customer ID]],customers[Customer ID],customers[Gender])</f>
        <v>Female</v>
      </c>
    </row>
    <row r="824" spans="2:15" x14ac:dyDescent="0.55000000000000004">
      <c r="B824" t="s">
        <v>846</v>
      </c>
      <c r="C824" t="s">
        <v>21</v>
      </c>
      <c r="D824">
        <v>150</v>
      </c>
      <c r="E824" s="16" t="s">
        <v>11</v>
      </c>
      <c r="F824" s="17">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t="str">
        <f>_xlfn.XLOOKUP(calls[[#This Row],[Customer ID]],customers[Customer ID],customers[City])</f>
        <v>Columbus</v>
      </c>
      <c r="N824">
        <f>_xlfn.XLOOKUP(calls[[#This Row],[Customer ID]],customers[Customer ID],customers[Age])</f>
        <v>38</v>
      </c>
      <c r="O824" t="str">
        <f>_xlfn.XLOOKUP(calls[[#This Row],[Customer ID]],customers[Customer ID],customers[Gender])</f>
        <v>Female</v>
      </c>
    </row>
    <row r="825" spans="2:15" x14ac:dyDescent="0.55000000000000004">
      <c r="B825" t="s">
        <v>847</v>
      </c>
      <c r="C825" t="s">
        <v>5</v>
      </c>
      <c r="D825">
        <v>69</v>
      </c>
      <c r="E825" s="16" t="s">
        <v>6</v>
      </c>
      <c r="F825" s="17">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t="str">
        <f>_xlfn.XLOOKUP(calls[[#This Row],[Customer ID]],customers[Customer ID],customers[City])</f>
        <v>Cleveland</v>
      </c>
      <c r="N825">
        <f>_xlfn.XLOOKUP(calls[[#This Row],[Customer ID]],customers[Customer ID],customers[Age])</f>
        <v>42</v>
      </c>
      <c r="O825" t="str">
        <f>_xlfn.XLOOKUP(calls[[#This Row],[Customer ID]],customers[Customer ID],customers[Gender])</f>
        <v>Female</v>
      </c>
    </row>
    <row r="826" spans="2:15" x14ac:dyDescent="0.55000000000000004">
      <c r="B826" t="s">
        <v>848</v>
      </c>
      <c r="C826" t="s">
        <v>20</v>
      </c>
      <c r="D826">
        <v>120</v>
      </c>
      <c r="E826" s="16" t="s">
        <v>9</v>
      </c>
      <c r="F826" s="17">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t="str">
        <f>_xlfn.XLOOKUP(calls[[#This Row],[Customer ID]],customers[Customer ID],customers[City])</f>
        <v>Cincinnati</v>
      </c>
      <c r="N826">
        <f>_xlfn.XLOOKUP(calls[[#This Row],[Customer ID]],customers[Customer ID],customers[Age])</f>
        <v>26</v>
      </c>
      <c r="O826" t="str">
        <f>_xlfn.XLOOKUP(calls[[#This Row],[Customer ID]],customers[Customer ID],customers[Gender])</f>
        <v>Male</v>
      </c>
    </row>
    <row r="827" spans="2:15" x14ac:dyDescent="0.55000000000000004">
      <c r="B827" t="s">
        <v>849</v>
      </c>
      <c r="C827" t="s">
        <v>23</v>
      </c>
      <c r="D827">
        <v>126</v>
      </c>
      <c r="E827" s="16" t="s">
        <v>13</v>
      </c>
      <c r="F827" s="17">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t="str">
        <f>_xlfn.XLOOKUP(calls[[#This Row],[Customer ID]],customers[Customer ID],customers[City])</f>
        <v>Columbus</v>
      </c>
      <c r="N827">
        <f>_xlfn.XLOOKUP(calls[[#This Row],[Customer ID]],customers[Customer ID],customers[Age])</f>
        <v>37</v>
      </c>
      <c r="O827" t="str">
        <f>_xlfn.XLOOKUP(calls[[#This Row],[Customer ID]],customers[Customer ID],customers[Gender])</f>
        <v>Male</v>
      </c>
    </row>
    <row r="828" spans="2:15" x14ac:dyDescent="0.55000000000000004">
      <c r="B828" t="s">
        <v>850</v>
      </c>
      <c r="C828" t="s">
        <v>5</v>
      </c>
      <c r="D828">
        <v>120</v>
      </c>
      <c r="E828" s="16" t="s">
        <v>10</v>
      </c>
      <c r="F828" s="17">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t="str">
        <f>_xlfn.XLOOKUP(calls[[#This Row],[Customer ID]],customers[Customer ID],customers[City])</f>
        <v>Cleveland</v>
      </c>
      <c r="N828">
        <f>_xlfn.XLOOKUP(calls[[#This Row],[Customer ID]],customers[Customer ID],customers[Age])</f>
        <v>42</v>
      </c>
      <c r="O828" t="str">
        <f>_xlfn.XLOOKUP(calls[[#This Row],[Customer ID]],customers[Customer ID],customers[Gender])</f>
        <v>Female</v>
      </c>
    </row>
    <row r="829" spans="2:15" x14ac:dyDescent="0.55000000000000004">
      <c r="B829" t="s">
        <v>851</v>
      </c>
      <c r="C829" t="s">
        <v>23</v>
      </c>
      <c r="D829">
        <v>139</v>
      </c>
      <c r="E829" s="16" t="s">
        <v>9</v>
      </c>
      <c r="F829" s="17">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t="str">
        <f>_xlfn.XLOOKUP(calls[[#This Row],[Customer ID]],customers[Customer ID],customers[City])</f>
        <v>Columbus</v>
      </c>
      <c r="N829">
        <f>_xlfn.XLOOKUP(calls[[#This Row],[Customer ID]],customers[Customer ID],customers[Age])</f>
        <v>37</v>
      </c>
      <c r="O829" t="str">
        <f>_xlfn.XLOOKUP(calls[[#This Row],[Customer ID]],customers[Customer ID],customers[Gender])</f>
        <v>Male</v>
      </c>
    </row>
    <row r="830" spans="2:15" x14ac:dyDescent="0.55000000000000004">
      <c r="B830" t="s">
        <v>852</v>
      </c>
      <c r="C830" t="s">
        <v>18</v>
      </c>
      <c r="D830">
        <v>124</v>
      </c>
      <c r="E830" s="16" t="s">
        <v>6</v>
      </c>
      <c r="F830" s="17">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t="str">
        <f>_xlfn.XLOOKUP(calls[[#This Row],[Customer ID]],customers[Customer ID],customers[City])</f>
        <v>Cleveland</v>
      </c>
      <c r="N830">
        <f>_xlfn.XLOOKUP(calls[[#This Row],[Customer ID]],customers[Customer ID],customers[Age])</f>
        <v>30</v>
      </c>
      <c r="O830" t="str">
        <f>_xlfn.XLOOKUP(calls[[#This Row],[Customer ID]],customers[Customer ID],customers[Gender])</f>
        <v>Female</v>
      </c>
    </row>
    <row r="831" spans="2:15" x14ac:dyDescent="0.55000000000000004">
      <c r="B831" t="s">
        <v>853</v>
      </c>
      <c r="C831" t="s">
        <v>20</v>
      </c>
      <c r="D831">
        <v>108</v>
      </c>
      <c r="E831" s="16" t="s">
        <v>10</v>
      </c>
      <c r="F831" s="17">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t="str">
        <f>_xlfn.XLOOKUP(calls[[#This Row],[Customer ID]],customers[Customer ID],customers[City])</f>
        <v>Cincinnati</v>
      </c>
      <c r="N831">
        <f>_xlfn.XLOOKUP(calls[[#This Row],[Customer ID]],customers[Customer ID],customers[Age])</f>
        <v>26</v>
      </c>
      <c r="O831" t="str">
        <f>_xlfn.XLOOKUP(calls[[#This Row],[Customer ID]],customers[Customer ID],customers[Gender])</f>
        <v>Male</v>
      </c>
    </row>
    <row r="832" spans="2:15" x14ac:dyDescent="0.55000000000000004">
      <c r="B832" t="s">
        <v>854</v>
      </c>
      <c r="C832" t="s">
        <v>12</v>
      </c>
      <c r="D832">
        <v>132</v>
      </c>
      <c r="E832" s="16" t="s">
        <v>11</v>
      </c>
      <c r="F832" s="17">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t="str">
        <f>_xlfn.XLOOKUP(calls[[#This Row],[Customer ID]],customers[Customer ID],customers[City])</f>
        <v>Cincinnati</v>
      </c>
      <c r="N832">
        <f>_xlfn.XLOOKUP(calls[[#This Row],[Customer ID]],customers[Customer ID],customers[Age])</f>
        <v>36</v>
      </c>
      <c r="O832" t="str">
        <f>_xlfn.XLOOKUP(calls[[#This Row],[Customer ID]],customers[Customer ID],customers[Gender])</f>
        <v>Male</v>
      </c>
    </row>
    <row r="833" spans="2:15" x14ac:dyDescent="0.55000000000000004">
      <c r="B833" t="s">
        <v>855</v>
      </c>
      <c r="C833" t="s">
        <v>17</v>
      </c>
      <c r="D833">
        <v>67</v>
      </c>
      <c r="E833" s="16" t="s">
        <v>11</v>
      </c>
      <c r="F833" s="17">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t="str">
        <f>_xlfn.XLOOKUP(calls[[#This Row],[Customer ID]],customers[Customer ID],customers[City])</f>
        <v>Columbus</v>
      </c>
      <c r="N833">
        <f>_xlfn.XLOOKUP(calls[[#This Row],[Customer ID]],customers[Customer ID],customers[Age])</f>
        <v>41</v>
      </c>
      <c r="O833" t="str">
        <f>_xlfn.XLOOKUP(calls[[#This Row],[Customer ID]],customers[Customer ID],customers[Gender])</f>
        <v>Male</v>
      </c>
    </row>
    <row r="834" spans="2:15" x14ac:dyDescent="0.55000000000000004">
      <c r="B834" t="s">
        <v>856</v>
      </c>
      <c r="C834" t="s">
        <v>15</v>
      </c>
      <c r="D834">
        <v>125</v>
      </c>
      <c r="E834" s="16" t="s">
        <v>11</v>
      </c>
      <c r="F834" s="17">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t="str">
        <f>_xlfn.XLOOKUP(calls[[#This Row],[Customer ID]],customers[Customer ID],customers[City])</f>
        <v>Cleveland</v>
      </c>
      <c r="N834">
        <f>_xlfn.XLOOKUP(calls[[#This Row],[Customer ID]],customers[Customer ID],customers[Age])</f>
        <v>22</v>
      </c>
      <c r="O834" t="str">
        <f>_xlfn.XLOOKUP(calls[[#This Row],[Customer ID]],customers[Customer ID],customers[Gender])</f>
        <v>Female</v>
      </c>
    </row>
    <row r="835" spans="2:15" x14ac:dyDescent="0.55000000000000004">
      <c r="B835" t="s">
        <v>857</v>
      </c>
      <c r="C835" t="s">
        <v>20</v>
      </c>
      <c r="D835">
        <v>23</v>
      </c>
      <c r="E835" s="16" t="s">
        <v>10</v>
      </c>
      <c r="F835" s="17">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t="str">
        <f>_xlfn.XLOOKUP(calls[[#This Row],[Customer ID]],customers[Customer ID],customers[City])</f>
        <v>Cincinnati</v>
      </c>
      <c r="N835">
        <f>_xlfn.XLOOKUP(calls[[#This Row],[Customer ID]],customers[Customer ID],customers[Age])</f>
        <v>26</v>
      </c>
      <c r="O835" t="str">
        <f>_xlfn.XLOOKUP(calls[[#This Row],[Customer ID]],customers[Customer ID],customers[Gender])</f>
        <v>Male</v>
      </c>
    </row>
    <row r="836" spans="2:15" x14ac:dyDescent="0.55000000000000004">
      <c r="B836" t="s">
        <v>858</v>
      </c>
      <c r="C836" t="s">
        <v>8</v>
      </c>
      <c r="D836">
        <v>131</v>
      </c>
      <c r="E836" s="16" t="s">
        <v>6</v>
      </c>
      <c r="F836" s="17">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t="str">
        <f>_xlfn.XLOOKUP(calls[[#This Row],[Customer ID]],customers[Customer ID],customers[City])</f>
        <v>Cincinnati</v>
      </c>
      <c r="N836">
        <f>_xlfn.XLOOKUP(calls[[#This Row],[Customer ID]],customers[Customer ID],customers[Age])</f>
        <v>30</v>
      </c>
      <c r="O836" t="str">
        <f>_xlfn.XLOOKUP(calls[[#This Row],[Customer ID]],customers[Customer ID],customers[Gender])</f>
        <v>Female</v>
      </c>
    </row>
    <row r="837" spans="2:15" x14ac:dyDescent="0.55000000000000004">
      <c r="B837" t="s">
        <v>859</v>
      </c>
      <c r="C837" t="s">
        <v>12</v>
      </c>
      <c r="D837">
        <v>56</v>
      </c>
      <c r="E837" s="16" t="s">
        <v>9</v>
      </c>
      <c r="F837" s="17">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t="str">
        <f>_xlfn.XLOOKUP(calls[[#This Row],[Customer ID]],customers[Customer ID],customers[City])</f>
        <v>Cincinnati</v>
      </c>
      <c r="N837">
        <f>_xlfn.XLOOKUP(calls[[#This Row],[Customer ID]],customers[Customer ID],customers[Age])</f>
        <v>36</v>
      </c>
      <c r="O837" t="str">
        <f>_xlfn.XLOOKUP(calls[[#This Row],[Customer ID]],customers[Customer ID],customers[Gender])</f>
        <v>Male</v>
      </c>
    </row>
    <row r="838" spans="2:15" x14ac:dyDescent="0.55000000000000004">
      <c r="B838" t="s">
        <v>860</v>
      </c>
      <c r="C838" t="s">
        <v>8</v>
      </c>
      <c r="D838">
        <v>70</v>
      </c>
      <c r="E838" s="16" t="s">
        <v>6</v>
      </c>
      <c r="F838" s="17">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t="str">
        <f>_xlfn.XLOOKUP(calls[[#This Row],[Customer ID]],customers[Customer ID],customers[City])</f>
        <v>Cincinnati</v>
      </c>
      <c r="N838">
        <f>_xlfn.XLOOKUP(calls[[#This Row],[Customer ID]],customers[Customer ID],customers[Age])</f>
        <v>30</v>
      </c>
      <c r="O838" t="str">
        <f>_xlfn.XLOOKUP(calls[[#This Row],[Customer ID]],customers[Customer ID],customers[Gender])</f>
        <v>Female</v>
      </c>
    </row>
    <row r="839" spans="2:15" x14ac:dyDescent="0.55000000000000004">
      <c r="B839" t="s">
        <v>861</v>
      </c>
      <c r="C839" t="s">
        <v>8</v>
      </c>
      <c r="D839">
        <v>55</v>
      </c>
      <c r="E839" s="16" t="s">
        <v>11</v>
      </c>
      <c r="F839" s="17">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t="str">
        <f>_xlfn.XLOOKUP(calls[[#This Row],[Customer ID]],customers[Customer ID],customers[City])</f>
        <v>Cincinnati</v>
      </c>
      <c r="N839">
        <f>_xlfn.XLOOKUP(calls[[#This Row],[Customer ID]],customers[Customer ID],customers[Age])</f>
        <v>30</v>
      </c>
      <c r="O839" t="str">
        <f>_xlfn.XLOOKUP(calls[[#This Row],[Customer ID]],customers[Customer ID],customers[Gender])</f>
        <v>Female</v>
      </c>
    </row>
    <row r="840" spans="2:15" x14ac:dyDescent="0.55000000000000004">
      <c r="B840" t="s">
        <v>862</v>
      </c>
      <c r="C840" t="s">
        <v>15</v>
      </c>
      <c r="D840">
        <v>77</v>
      </c>
      <c r="E840" s="16" t="s">
        <v>9</v>
      </c>
      <c r="F840" s="17">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t="str">
        <f>_xlfn.XLOOKUP(calls[[#This Row],[Customer ID]],customers[Customer ID],customers[City])</f>
        <v>Cleveland</v>
      </c>
      <c r="N840">
        <f>_xlfn.XLOOKUP(calls[[#This Row],[Customer ID]],customers[Customer ID],customers[Age])</f>
        <v>22</v>
      </c>
      <c r="O840" t="str">
        <f>_xlfn.XLOOKUP(calls[[#This Row],[Customer ID]],customers[Customer ID],customers[Gender])</f>
        <v>Female</v>
      </c>
    </row>
    <row r="841" spans="2:15" x14ac:dyDescent="0.55000000000000004">
      <c r="B841" t="s">
        <v>863</v>
      </c>
      <c r="C841" t="s">
        <v>21</v>
      </c>
      <c r="D841">
        <v>133</v>
      </c>
      <c r="E841" s="16" t="s">
        <v>6</v>
      </c>
      <c r="F841" s="17">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t="str">
        <f>_xlfn.XLOOKUP(calls[[#This Row],[Customer ID]],customers[Customer ID],customers[City])</f>
        <v>Columbus</v>
      </c>
      <c r="N841">
        <f>_xlfn.XLOOKUP(calls[[#This Row],[Customer ID]],customers[Customer ID],customers[Age])</f>
        <v>38</v>
      </c>
      <c r="O841" t="str">
        <f>_xlfn.XLOOKUP(calls[[#This Row],[Customer ID]],customers[Customer ID],customers[Gender])</f>
        <v>Female</v>
      </c>
    </row>
    <row r="842" spans="2:15" x14ac:dyDescent="0.55000000000000004">
      <c r="B842" t="s">
        <v>864</v>
      </c>
      <c r="C842" t="s">
        <v>15</v>
      </c>
      <c r="D842">
        <v>77</v>
      </c>
      <c r="E842" s="16" t="s">
        <v>9</v>
      </c>
      <c r="F842" s="17">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t="str">
        <f>_xlfn.XLOOKUP(calls[[#This Row],[Customer ID]],customers[Customer ID],customers[City])</f>
        <v>Cleveland</v>
      </c>
      <c r="N842">
        <f>_xlfn.XLOOKUP(calls[[#This Row],[Customer ID]],customers[Customer ID],customers[Age])</f>
        <v>22</v>
      </c>
      <c r="O842" t="str">
        <f>_xlfn.XLOOKUP(calls[[#This Row],[Customer ID]],customers[Customer ID],customers[Gender])</f>
        <v>Female</v>
      </c>
    </row>
    <row r="843" spans="2:15" x14ac:dyDescent="0.55000000000000004">
      <c r="B843" t="s">
        <v>865</v>
      </c>
      <c r="C843" t="s">
        <v>19</v>
      </c>
      <c r="D843">
        <v>103</v>
      </c>
      <c r="E843" s="16" t="s">
        <v>6</v>
      </c>
      <c r="F843" s="17">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t="str">
        <f>_xlfn.XLOOKUP(calls[[#This Row],[Customer ID]],customers[Customer ID],customers[City])</f>
        <v>Cleveland</v>
      </c>
      <c r="N843">
        <f>_xlfn.XLOOKUP(calls[[#This Row],[Customer ID]],customers[Customer ID],customers[Age])</f>
        <v>43</v>
      </c>
      <c r="O843" t="str">
        <f>_xlfn.XLOOKUP(calls[[#This Row],[Customer ID]],customers[Customer ID],customers[Gender])</f>
        <v>Female</v>
      </c>
    </row>
    <row r="844" spans="2:15" x14ac:dyDescent="0.55000000000000004">
      <c r="B844" t="s">
        <v>866</v>
      </c>
      <c r="C844" t="s">
        <v>5</v>
      </c>
      <c r="D844">
        <v>32</v>
      </c>
      <c r="E844" s="16" t="s">
        <v>9</v>
      </c>
      <c r="F844" s="17">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t="str">
        <f>_xlfn.XLOOKUP(calls[[#This Row],[Customer ID]],customers[Customer ID],customers[City])</f>
        <v>Cleveland</v>
      </c>
      <c r="N844">
        <f>_xlfn.XLOOKUP(calls[[#This Row],[Customer ID]],customers[Customer ID],customers[Age])</f>
        <v>42</v>
      </c>
      <c r="O844" t="str">
        <f>_xlfn.XLOOKUP(calls[[#This Row],[Customer ID]],customers[Customer ID],customers[Gender])</f>
        <v>Female</v>
      </c>
    </row>
    <row r="845" spans="2:15" x14ac:dyDescent="0.55000000000000004">
      <c r="B845" t="s">
        <v>867</v>
      </c>
      <c r="C845" t="s">
        <v>21</v>
      </c>
      <c r="D845">
        <v>30</v>
      </c>
      <c r="E845" s="16" t="s">
        <v>6</v>
      </c>
      <c r="F845" s="17">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t="str">
        <f>_xlfn.XLOOKUP(calls[[#This Row],[Customer ID]],customers[Customer ID],customers[City])</f>
        <v>Columbus</v>
      </c>
      <c r="N845">
        <f>_xlfn.XLOOKUP(calls[[#This Row],[Customer ID]],customers[Customer ID],customers[Age])</f>
        <v>38</v>
      </c>
      <c r="O845" t="str">
        <f>_xlfn.XLOOKUP(calls[[#This Row],[Customer ID]],customers[Customer ID],customers[Gender])</f>
        <v>Female</v>
      </c>
    </row>
    <row r="846" spans="2:15" x14ac:dyDescent="0.55000000000000004">
      <c r="B846" t="s">
        <v>868</v>
      </c>
      <c r="C846" t="s">
        <v>23</v>
      </c>
      <c r="D846">
        <v>87</v>
      </c>
      <c r="E846" s="16" t="s">
        <v>13</v>
      </c>
      <c r="F846" s="17">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t="str">
        <f>_xlfn.XLOOKUP(calls[[#This Row],[Customer ID]],customers[Customer ID],customers[City])</f>
        <v>Columbus</v>
      </c>
      <c r="N846">
        <f>_xlfn.XLOOKUP(calls[[#This Row],[Customer ID]],customers[Customer ID],customers[Age])</f>
        <v>37</v>
      </c>
      <c r="O846" t="str">
        <f>_xlfn.XLOOKUP(calls[[#This Row],[Customer ID]],customers[Customer ID],customers[Gender])</f>
        <v>Male</v>
      </c>
    </row>
    <row r="847" spans="2:15" x14ac:dyDescent="0.55000000000000004">
      <c r="B847" t="s">
        <v>869</v>
      </c>
      <c r="C847" t="s">
        <v>15</v>
      </c>
      <c r="D847">
        <v>137</v>
      </c>
      <c r="E847" s="16" t="s">
        <v>10</v>
      </c>
      <c r="F847" s="17">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t="str">
        <f>_xlfn.XLOOKUP(calls[[#This Row],[Customer ID]],customers[Customer ID],customers[City])</f>
        <v>Cleveland</v>
      </c>
      <c r="N847">
        <f>_xlfn.XLOOKUP(calls[[#This Row],[Customer ID]],customers[Customer ID],customers[Age])</f>
        <v>22</v>
      </c>
      <c r="O847" t="str">
        <f>_xlfn.XLOOKUP(calls[[#This Row],[Customer ID]],customers[Customer ID],customers[Gender])</f>
        <v>Female</v>
      </c>
    </row>
    <row r="848" spans="2:15" x14ac:dyDescent="0.55000000000000004">
      <c r="B848" t="s">
        <v>870</v>
      </c>
      <c r="C848" t="s">
        <v>14</v>
      </c>
      <c r="D848">
        <v>96</v>
      </c>
      <c r="E848" s="16" t="s">
        <v>6</v>
      </c>
      <c r="F848" s="17">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t="str">
        <f>_xlfn.XLOOKUP(calls[[#This Row],[Customer ID]],customers[Customer ID],customers[City])</f>
        <v>Cleveland</v>
      </c>
      <c r="N848">
        <f>_xlfn.XLOOKUP(calls[[#This Row],[Customer ID]],customers[Customer ID],customers[Age])</f>
        <v>37</v>
      </c>
      <c r="O848" t="str">
        <f>_xlfn.XLOOKUP(calls[[#This Row],[Customer ID]],customers[Customer ID],customers[Gender])</f>
        <v>Female</v>
      </c>
    </row>
    <row r="849" spans="2:15" x14ac:dyDescent="0.55000000000000004">
      <c r="B849" t="s">
        <v>871</v>
      </c>
      <c r="C849" t="s">
        <v>18</v>
      </c>
      <c r="D849">
        <v>155</v>
      </c>
      <c r="E849" s="16" t="s">
        <v>6</v>
      </c>
      <c r="F849" s="17">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t="str">
        <f>_xlfn.XLOOKUP(calls[[#This Row],[Customer ID]],customers[Customer ID],customers[City])</f>
        <v>Cleveland</v>
      </c>
      <c r="N849">
        <f>_xlfn.XLOOKUP(calls[[#This Row],[Customer ID]],customers[Customer ID],customers[Age])</f>
        <v>30</v>
      </c>
      <c r="O849" t="str">
        <f>_xlfn.XLOOKUP(calls[[#This Row],[Customer ID]],customers[Customer ID],customers[Gender])</f>
        <v>Female</v>
      </c>
    </row>
    <row r="850" spans="2:15" x14ac:dyDescent="0.55000000000000004">
      <c r="B850" t="s">
        <v>872</v>
      </c>
      <c r="C850" t="s">
        <v>21</v>
      </c>
      <c r="D850">
        <v>173</v>
      </c>
      <c r="E850" s="16" t="s">
        <v>11</v>
      </c>
      <c r="F850" s="17">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t="str">
        <f>_xlfn.XLOOKUP(calls[[#This Row],[Customer ID]],customers[Customer ID],customers[City])</f>
        <v>Columbus</v>
      </c>
      <c r="N850">
        <f>_xlfn.XLOOKUP(calls[[#This Row],[Customer ID]],customers[Customer ID],customers[Age])</f>
        <v>38</v>
      </c>
      <c r="O850" t="str">
        <f>_xlfn.XLOOKUP(calls[[#This Row],[Customer ID]],customers[Customer ID],customers[Gender])</f>
        <v>Female</v>
      </c>
    </row>
    <row r="851" spans="2:15" x14ac:dyDescent="0.55000000000000004">
      <c r="B851" t="s">
        <v>873</v>
      </c>
      <c r="C851" t="s">
        <v>18</v>
      </c>
      <c r="D851">
        <v>127</v>
      </c>
      <c r="E851" s="16" t="s">
        <v>6</v>
      </c>
      <c r="F851" s="17">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t="str">
        <f>_xlfn.XLOOKUP(calls[[#This Row],[Customer ID]],customers[Customer ID],customers[City])</f>
        <v>Cleveland</v>
      </c>
      <c r="N851">
        <f>_xlfn.XLOOKUP(calls[[#This Row],[Customer ID]],customers[Customer ID],customers[Age])</f>
        <v>30</v>
      </c>
      <c r="O851" t="str">
        <f>_xlfn.XLOOKUP(calls[[#This Row],[Customer ID]],customers[Customer ID],customers[Gender])</f>
        <v>Female</v>
      </c>
    </row>
    <row r="852" spans="2:15" x14ac:dyDescent="0.55000000000000004">
      <c r="B852" t="s">
        <v>874</v>
      </c>
      <c r="C852" t="s">
        <v>12</v>
      </c>
      <c r="D852">
        <v>117</v>
      </c>
      <c r="E852" s="16" t="s">
        <v>11</v>
      </c>
      <c r="F852" s="17">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t="str">
        <f>_xlfn.XLOOKUP(calls[[#This Row],[Customer ID]],customers[Customer ID],customers[City])</f>
        <v>Cincinnati</v>
      </c>
      <c r="N852">
        <f>_xlfn.XLOOKUP(calls[[#This Row],[Customer ID]],customers[Customer ID],customers[Age])</f>
        <v>36</v>
      </c>
      <c r="O852" t="str">
        <f>_xlfn.XLOOKUP(calls[[#This Row],[Customer ID]],customers[Customer ID],customers[Gender])</f>
        <v>Male</v>
      </c>
    </row>
    <row r="853" spans="2:15" x14ac:dyDescent="0.55000000000000004">
      <c r="B853" t="s">
        <v>875</v>
      </c>
      <c r="C853" t="s">
        <v>20</v>
      </c>
      <c r="D853">
        <v>133</v>
      </c>
      <c r="E853" s="16" t="s">
        <v>9</v>
      </c>
      <c r="F853" s="17">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t="str">
        <f>_xlfn.XLOOKUP(calls[[#This Row],[Customer ID]],customers[Customer ID],customers[City])</f>
        <v>Cincinnati</v>
      </c>
      <c r="N853">
        <f>_xlfn.XLOOKUP(calls[[#This Row],[Customer ID]],customers[Customer ID],customers[Age])</f>
        <v>26</v>
      </c>
      <c r="O853" t="str">
        <f>_xlfn.XLOOKUP(calls[[#This Row],[Customer ID]],customers[Customer ID],customers[Gender])</f>
        <v>Male</v>
      </c>
    </row>
    <row r="854" spans="2:15" x14ac:dyDescent="0.55000000000000004">
      <c r="B854" t="s">
        <v>876</v>
      </c>
      <c r="C854" t="s">
        <v>24</v>
      </c>
      <c r="D854">
        <v>166</v>
      </c>
      <c r="E854" s="16" t="s">
        <v>13</v>
      </c>
      <c r="F854" s="17">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t="str">
        <f>_xlfn.XLOOKUP(calls[[#This Row],[Customer ID]],customers[Customer ID],customers[City])</f>
        <v>Cleveland</v>
      </c>
      <c r="N854">
        <f>_xlfn.XLOOKUP(calls[[#This Row],[Customer ID]],customers[Customer ID],customers[Age])</f>
        <v>31</v>
      </c>
      <c r="O854" t="str">
        <f>_xlfn.XLOOKUP(calls[[#This Row],[Customer ID]],customers[Customer ID],customers[Gender])</f>
        <v>Male</v>
      </c>
    </row>
    <row r="855" spans="2:15" x14ac:dyDescent="0.55000000000000004">
      <c r="B855" t="s">
        <v>877</v>
      </c>
      <c r="C855" t="s">
        <v>20</v>
      </c>
      <c r="D855">
        <v>50</v>
      </c>
      <c r="E855" s="16" t="s">
        <v>11</v>
      </c>
      <c r="F855" s="17">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t="str">
        <f>_xlfn.XLOOKUP(calls[[#This Row],[Customer ID]],customers[Customer ID],customers[City])</f>
        <v>Cincinnati</v>
      </c>
      <c r="N855">
        <f>_xlfn.XLOOKUP(calls[[#This Row],[Customer ID]],customers[Customer ID],customers[Age])</f>
        <v>26</v>
      </c>
      <c r="O855" t="str">
        <f>_xlfn.XLOOKUP(calls[[#This Row],[Customer ID]],customers[Customer ID],customers[Gender])</f>
        <v>Male</v>
      </c>
    </row>
    <row r="856" spans="2:15" x14ac:dyDescent="0.55000000000000004">
      <c r="B856" t="s">
        <v>878</v>
      </c>
      <c r="C856" t="s">
        <v>19</v>
      </c>
      <c r="D856">
        <v>43</v>
      </c>
      <c r="E856" s="16" t="s">
        <v>9</v>
      </c>
      <c r="F856" s="17">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t="str">
        <f>_xlfn.XLOOKUP(calls[[#This Row],[Customer ID]],customers[Customer ID],customers[City])</f>
        <v>Cleveland</v>
      </c>
      <c r="N856">
        <f>_xlfn.XLOOKUP(calls[[#This Row],[Customer ID]],customers[Customer ID],customers[Age])</f>
        <v>43</v>
      </c>
      <c r="O856" t="str">
        <f>_xlfn.XLOOKUP(calls[[#This Row],[Customer ID]],customers[Customer ID],customers[Gender])</f>
        <v>Female</v>
      </c>
    </row>
    <row r="857" spans="2:15" x14ac:dyDescent="0.55000000000000004">
      <c r="B857" t="s">
        <v>879</v>
      </c>
      <c r="C857" t="s">
        <v>14</v>
      </c>
      <c r="D857">
        <v>124</v>
      </c>
      <c r="E857" s="16" t="s">
        <v>6</v>
      </c>
      <c r="F857" s="17">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t="str">
        <f>_xlfn.XLOOKUP(calls[[#This Row],[Customer ID]],customers[Customer ID],customers[City])</f>
        <v>Cleveland</v>
      </c>
      <c r="N857">
        <f>_xlfn.XLOOKUP(calls[[#This Row],[Customer ID]],customers[Customer ID],customers[Age])</f>
        <v>37</v>
      </c>
      <c r="O857" t="str">
        <f>_xlfn.XLOOKUP(calls[[#This Row],[Customer ID]],customers[Customer ID],customers[Gender])</f>
        <v>Female</v>
      </c>
    </row>
    <row r="858" spans="2:15" x14ac:dyDescent="0.55000000000000004">
      <c r="B858" t="s">
        <v>880</v>
      </c>
      <c r="C858" t="s">
        <v>21</v>
      </c>
      <c r="D858">
        <v>94</v>
      </c>
      <c r="E858" s="16" t="s">
        <v>6</v>
      </c>
      <c r="F858" s="17">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t="str">
        <f>_xlfn.XLOOKUP(calls[[#This Row],[Customer ID]],customers[Customer ID],customers[City])</f>
        <v>Columbus</v>
      </c>
      <c r="N858">
        <f>_xlfn.XLOOKUP(calls[[#This Row],[Customer ID]],customers[Customer ID],customers[Age])</f>
        <v>38</v>
      </c>
      <c r="O858" t="str">
        <f>_xlfn.XLOOKUP(calls[[#This Row],[Customer ID]],customers[Customer ID],customers[Gender])</f>
        <v>Female</v>
      </c>
    </row>
    <row r="859" spans="2:15" x14ac:dyDescent="0.55000000000000004">
      <c r="B859" t="s">
        <v>881</v>
      </c>
      <c r="C859" t="s">
        <v>19</v>
      </c>
      <c r="D859">
        <v>126</v>
      </c>
      <c r="E859" s="16" t="s">
        <v>13</v>
      </c>
      <c r="F859" s="17">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t="str">
        <f>_xlfn.XLOOKUP(calls[[#This Row],[Customer ID]],customers[Customer ID],customers[City])</f>
        <v>Cleveland</v>
      </c>
      <c r="N859">
        <f>_xlfn.XLOOKUP(calls[[#This Row],[Customer ID]],customers[Customer ID],customers[Age])</f>
        <v>43</v>
      </c>
      <c r="O859" t="str">
        <f>_xlfn.XLOOKUP(calls[[#This Row],[Customer ID]],customers[Customer ID],customers[Gender])</f>
        <v>Female</v>
      </c>
    </row>
    <row r="860" spans="2:15" x14ac:dyDescent="0.55000000000000004">
      <c r="B860" t="s">
        <v>882</v>
      </c>
      <c r="C860" t="s">
        <v>24</v>
      </c>
      <c r="D860">
        <v>105</v>
      </c>
      <c r="E860" s="16" t="s">
        <v>11</v>
      </c>
      <c r="F860" s="17">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t="str">
        <f>_xlfn.XLOOKUP(calls[[#This Row],[Customer ID]],customers[Customer ID],customers[City])</f>
        <v>Cleveland</v>
      </c>
      <c r="N860">
        <f>_xlfn.XLOOKUP(calls[[#This Row],[Customer ID]],customers[Customer ID],customers[Age])</f>
        <v>31</v>
      </c>
      <c r="O860" t="str">
        <f>_xlfn.XLOOKUP(calls[[#This Row],[Customer ID]],customers[Customer ID],customers[Gender])</f>
        <v>Male</v>
      </c>
    </row>
    <row r="861" spans="2:15" x14ac:dyDescent="0.55000000000000004">
      <c r="B861" t="s">
        <v>883</v>
      </c>
      <c r="C861" t="s">
        <v>8</v>
      </c>
      <c r="D861">
        <v>60</v>
      </c>
      <c r="E861" s="16" t="s">
        <v>10</v>
      </c>
      <c r="F861" s="17">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t="str">
        <f>_xlfn.XLOOKUP(calls[[#This Row],[Customer ID]],customers[Customer ID],customers[City])</f>
        <v>Cincinnati</v>
      </c>
      <c r="N861">
        <f>_xlfn.XLOOKUP(calls[[#This Row],[Customer ID]],customers[Customer ID],customers[Age])</f>
        <v>30</v>
      </c>
      <c r="O861" t="str">
        <f>_xlfn.XLOOKUP(calls[[#This Row],[Customer ID]],customers[Customer ID],customers[Gender])</f>
        <v>Female</v>
      </c>
    </row>
    <row r="862" spans="2:15" x14ac:dyDescent="0.55000000000000004">
      <c r="B862" t="s">
        <v>884</v>
      </c>
      <c r="C862" t="s">
        <v>8</v>
      </c>
      <c r="D862">
        <v>72</v>
      </c>
      <c r="E862" s="16" t="s">
        <v>11</v>
      </c>
      <c r="F862" s="17">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t="str">
        <f>_xlfn.XLOOKUP(calls[[#This Row],[Customer ID]],customers[Customer ID],customers[City])</f>
        <v>Cincinnati</v>
      </c>
      <c r="N862">
        <f>_xlfn.XLOOKUP(calls[[#This Row],[Customer ID]],customers[Customer ID],customers[Age])</f>
        <v>30</v>
      </c>
      <c r="O862" t="str">
        <f>_xlfn.XLOOKUP(calls[[#This Row],[Customer ID]],customers[Customer ID],customers[Gender])</f>
        <v>Female</v>
      </c>
    </row>
    <row r="863" spans="2:15" x14ac:dyDescent="0.55000000000000004">
      <c r="B863" t="s">
        <v>885</v>
      </c>
      <c r="C863" t="s">
        <v>16</v>
      </c>
      <c r="D863">
        <v>40</v>
      </c>
      <c r="E863" s="16" t="s">
        <v>11</v>
      </c>
      <c r="F863" s="17">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t="str">
        <f>_xlfn.XLOOKUP(calls[[#This Row],[Customer ID]],customers[Customer ID],customers[City])</f>
        <v>Cincinnati</v>
      </c>
      <c r="N863">
        <f>_xlfn.XLOOKUP(calls[[#This Row],[Customer ID]],customers[Customer ID],customers[Age])</f>
        <v>28</v>
      </c>
      <c r="O863" t="str">
        <f>_xlfn.XLOOKUP(calls[[#This Row],[Customer ID]],customers[Customer ID],customers[Gender])</f>
        <v>Female</v>
      </c>
    </row>
    <row r="864" spans="2:15" x14ac:dyDescent="0.55000000000000004">
      <c r="B864" t="s">
        <v>886</v>
      </c>
      <c r="C864" t="s">
        <v>5</v>
      </c>
      <c r="D864">
        <v>54</v>
      </c>
      <c r="E864" s="16" t="s">
        <v>13</v>
      </c>
      <c r="F864" s="17">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t="str">
        <f>_xlfn.XLOOKUP(calls[[#This Row],[Customer ID]],customers[Customer ID],customers[City])</f>
        <v>Cleveland</v>
      </c>
      <c r="N864">
        <f>_xlfn.XLOOKUP(calls[[#This Row],[Customer ID]],customers[Customer ID],customers[Age])</f>
        <v>42</v>
      </c>
      <c r="O864" t="str">
        <f>_xlfn.XLOOKUP(calls[[#This Row],[Customer ID]],customers[Customer ID],customers[Gender])</f>
        <v>Female</v>
      </c>
    </row>
    <row r="865" spans="2:15" x14ac:dyDescent="0.55000000000000004">
      <c r="B865" t="s">
        <v>887</v>
      </c>
      <c r="C865" t="s">
        <v>12</v>
      </c>
      <c r="D865">
        <v>81</v>
      </c>
      <c r="E865" s="16" t="s">
        <v>9</v>
      </c>
      <c r="F865" s="17">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t="str">
        <f>_xlfn.XLOOKUP(calls[[#This Row],[Customer ID]],customers[Customer ID],customers[City])</f>
        <v>Cincinnati</v>
      </c>
      <c r="N865">
        <f>_xlfn.XLOOKUP(calls[[#This Row],[Customer ID]],customers[Customer ID],customers[Age])</f>
        <v>36</v>
      </c>
      <c r="O865" t="str">
        <f>_xlfn.XLOOKUP(calls[[#This Row],[Customer ID]],customers[Customer ID],customers[Gender])</f>
        <v>Male</v>
      </c>
    </row>
    <row r="866" spans="2:15" x14ac:dyDescent="0.55000000000000004">
      <c r="B866" t="s">
        <v>888</v>
      </c>
      <c r="C866" t="s">
        <v>5</v>
      </c>
      <c r="D866">
        <v>76</v>
      </c>
      <c r="E866" s="16" t="s">
        <v>6</v>
      </c>
      <c r="F866" s="17">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t="str">
        <f>_xlfn.XLOOKUP(calls[[#This Row],[Customer ID]],customers[Customer ID],customers[City])</f>
        <v>Cleveland</v>
      </c>
      <c r="N866">
        <f>_xlfn.XLOOKUP(calls[[#This Row],[Customer ID]],customers[Customer ID],customers[Age])</f>
        <v>42</v>
      </c>
      <c r="O866" t="str">
        <f>_xlfn.XLOOKUP(calls[[#This Row],[Customer ID]],customers[Customer ID],customers[Gender])</f>
        <v>Female</v>
      </c>
    </row>
    <row r="867" spans="2:15" x14ac:dyDescent="0.55000000000000004">
      <c r="B867" t="s">
        <v>889</v>
      </c>
      <c r="C867" t="s">
        <v>5</v>
      </c>
      <c r="D867">
        <v>37</v>
      </c>
      <c r="E867" s="16" t="s">
        <v>10</v>
      </c>
      <c r="F867" s="17">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t="str">
        <f>_xlfn.XLOOKUP(calls[[#This Row],[Customer ID]],customers[Customer ID],customers[City])</f>
        <v>Cleveland</v>
      </c>
      <c r="N867">
        <f>_xlfn.XLOOKUP(calls[[#This Row],[Customer ID]],customers[Customer ID],customers[Age])</f>
        <v>42</v>
      </c>
      <c r="O867" t="str">
        <f>_xlfn.XLOOKUP(calls[[#This Row],[Customer ID]],customers[Customer ID],customers[Gender])</f>
        <v>Female</v>
      </c>
    </row>
    <row r="868" spans="2:15" x14ac:dyDescent="0.55000000000000004">
      <c r="B868" t="s">
        <v>890</v>
      </c>
      <c r="C868" t="s">
        <v>24</v>
      </c>
      <c r="D868">
        <v>96</v>
      </c>
      <c r="E868" s="16" t="s">
        <v>13</v>
      </c>
      <c r="F868" s="17">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t="str">
        <f>_xlfn.XLOOKUP(calls[[#This Row],[Customer ID]],customers[Customer ID],customers[City])</f>
        <v>Cleveland</v>
      </c>
      <c r="N868">
        <f>_xlfn.XLOOKUP(calls[[#This Row],[Customer ID]],customers[Customer ID],customers[Age])</f>
        <v>31</v>
      </c>
      <c r="O868" t="str">
        <f>_xlfn.XLOOKUP(calls[[#This Row],[Customer ID]],customers[Customer ID],customers[Gender])</f>
        <v>Male</v>
      </c>
    </row>
    <row r="869" spans="2:15" x14ac:dyDescent="0.55000000000000004">
      <c r="B869" t="s">
        <v>891</v>
      </c>
      <c r="C869" t="s">
        <v>8</v>
      </c>
      <c r="D869">
        <v>19</v>
      </c>
      <c r="E869" s="16" t="s">
        <v>6</v>
      </c>
      <c r="F869" s="17">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t="str">
        <f>_xlfn.XLOOKUP(calls[[#This Row],[Customer ID]],customers[Customer ID],customers[City])</f>
        <v>Cincinnati</v>
      </c>
      <c r="N869">
        <f>_xlfn.XLOOKUP(calls[[#This Row],[Customer ID]],customers[Customer ID],customers[Age])</f>
        <v>30</v>
      </c>
      <c r="O869" t="str">
        <f>_xlfn.XLOOKUP(calls[[#This Row],[Customer ID]],customers[Customer ID],customers[Gender])</f>
        <v>Female</v>
      </c>
    </row>
    <row r="870" spans="2:15" x14ac:dyDescent="0.55000000000000004">
      <c r="B870" t="s">
        <v>892</v>
      </c>
      <c r="C870" t="s">
        <v>16</v>
      </c>
      <c r="D870">
        <v>72</v>
      </c>
      <c r="E870" s="16" t="s">
        <v>10</v>
      </c>
      <c r="F870" s="17">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t="str">
        <f>_xlfn.XLOOKUP(calls[[#This Row],[Customer ID]],customers[Customer ID],customers[City])</f>
        <v>Cincinnati</v>
      </c>
      <c r="N870">
        <f>_xlfn.XLOOKUP(calls[[#This Row],[Customer ID]],customers[Customer ID],customers[Age])</f>
        <v>28</v>
      </c>
      <c r="O870" t="str">
        <f>_xlfn.XLOOKUP(calls[[#This Row],[Customer ID]],customers[Customer ID],customers[Gender])</f>
        <v>Female</v>
      </c>
    </row>
    <row r="871" spans="2:15" x14ac:dyDescent="0.55000000000000004">
      <c r="B871" t="s">
        <v>893</v>
      </c>
      <c r="C871" t="s">
        <v>21</v>
      </c>
      <c r="D871">
        <v>73</v>
      </c>
      <c r="E871" s="16" t="s">
        <v>9</v>
      </c>
      <c r="F871" s="17">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t="str">
        <f>_xlfn.XLOOKUP(calls[[#This Row],[Customer ID]],customers[Customer ID],customers[City])</f>
        <v>Columbus</v>
      </c>
      <c r="N871">
        <f>_xlfn.XLOOKUP(calls[[#This Row],[Customer ID]],customers[Customer ID],customers[Age])</f>
        <v>38</v>
      </c>
      <c r="O871" t="str">
        <f>_xlfn.XLOOKUP(calls[[#This Row],[Customer ID]],customers[Customer ID],customers[Gender])</f>
        <v>Female</v>
      </c>
    </row>
    <row r="872" spans="2:15" x14ac:dyDescent="0.55000000000000004">
      <c r="B872" t="s">
        <v>894</v>
      </c>
      <c r="C872" t="s">
        <v>17</v>
      </c>
      <c r="D872">
        <v>87</v>
      </c>
      <c r="E872" s="16" t="s">
        <v>9</v>
      </c>
      <c r="F872" s="17">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t="str">
        <f>_xlfn.XLOOKUP(calls[[#This Row],[Customer ID]],customers[Customer ID],customers[City])</f>
        <v>Columbus</v>
      </c>
      <c r="N872">
        <f>_xlfn.XLOOKUP(calls[[#This Row],[Customer ID]],customers[Customer ID],customers[Age])</f>
        <v>41</v>
      </c>
      <c r="O872" t="str">
        <f>_xlfn.XLOOKUP(calls[[#This Row],[Customer ID]],customers[Customer ID],customers[Gender])</f>
        <v>Male</v>
      </c>
    </row>
    <row r="873" spans="2:15" x14ac:dyDescent="0.55000000000000004">
      <c r="B873" t="s">
        <v>895</v>
      </c>
      <c r="C873" t="s">
        <v>17</v>
      </c>
      <c r="D873">
        <v>68</v>
      </c>
      <c r="E873" s="16" t="s">
        <v>9</v>
      </c>
      <c r="F873" s="17">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t="str">
        <f>_xlfn.XLOOKUP(calls[[#This Row],[Customer ID]],customers[Customer ID],customers[City])</f>
        <v>Columbus</v>
      </c>
      <c r="N873">
        <f>_xlfn.XLOOKUP(calls[[#This Row],[Customer ID]],customers[Customer ID],customers[Age])</f>
        <v>41</v>
      </c>
      <c r="O873" t="str">
        <f>_xlfn.XLOOKUP(calls[[#This Row],[Customer ID]],customers[Customer ID],customers[Gender])</f>
        <v>Male</v>
      </c>
    </row>
    <row r="874" spans="2:15" x14ac:dyDescent="0.55000000000000004">
      <c r="B874" t="s">
        <v>896</v>
      </c>
      <c r="C874" t="s">
        <v>16</v>
      </c>
      <c r="D874">
        <v>101</v>
      </c>
      <c r="E874" s="16" t="s">
        <v>9</v>
      </c>
      <c r="F874" s="17">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t="str">
        <f>_xlfn.XLOOKUP(calls[[#This Row],[Customer ID]],customers[Customer ID],customers[City])</f>
        <v>Cincinnati</v>
      </c>
      <c r="N874">
        <f>_xlfn.XLOOKUP(calls[[#This Row],[Customer ID]],customers[Customer ID],customers[Age])</f>
        <v>28</v>
      </c>
      <c r="O874" t="str">
        <f>_xlfn.XLOOKUP(calls[[#This Row],[Customer ID]],customers[Customer ID],customers[Gender])</f>
        <v>Female</v>
      </c>
    </row>
    <row r="875" spans="2:15" x14ac:dyDescent="0.55000000000000004">
      <c r="B875" t="s">
        <v>897</v>
      </c>
      <c r="C875" t="s">
        <v>16</v>
      </c>
      <c r="D875">
        <v>107</v>
      </c>
      <c r="E875" s="16" t="s">
        <v>10</v>
      </c>
      <c r="F875" s="17">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t="str">
        <f>_xlfn.XLOOKUP(calls[[#This Row],[Customer ID]],customers[Customer ID],customers[City])</f>
        <v>Cincinnati</v>
      </c>
      <c r="N875">
        <f>_xlfn.XLOOKUP(calls[[#This Row],[Customer ID]],customers[Customer ID],customers[Age])</f>
        <v>28</v>
      </c>
      <c r="O875" t="str">
        <f>_xlfn.XLOOKUP(calls[[#This Row],[Customer ID]],customers[Customer ID],customers[Gender])</f>
        <v>Female</v>
      </c>
    </row>
    <row r="876" spans="2:15" x14ac:dyDescent="0.55000000000000004">
      <c r="B876" t="s">
        <v>898</v>
      </c>
      <c r="C876" t="s">
        <v>22</v>
      </c>
      <c r="D876">
        <v>109</v>
      </c>
      <c r="E876" s="16" t="s">
        <v>11</v>
      </c>
      <c r="F876" s="17">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t="str">
        <f>_xlfn.XLOOKUP(calls[[#This Row],[Customer ID]],customers[Customer ID],customers[City])</f>
        <v>Columbus</v>
      </c>
      <c r="N876">
        <f>_xlfn.XLOOKUP(calls[[#This Row],[Customer ID]],customers[Customer ID],customers[Age])</f>
        <v>25</v>
      </c>
      <c r="O876" t="str">
        <f>_xlfn.XLOOKUP(calls[[#This Row],[Customer ID]],customers[Customer ID],customers[Gender])</f>
        <v>Female</v>
      </c>
    </row>
    <row r="877" spans="2:15" x14ac:dyDescent="0.55000000000000004">
      <c r="B877" t="s">
        <v>899</v>
      </c>
      <c r="C877" t="s">
        <v>14</v>
      </c>
      <c r="D877">
        <v>171</v>
      </c>
      <c r="E877" s="16" t="s">
        <v>10</v>
      </c>
      <c r="F877" s="17">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t="str">
        <f>_xlfn.XLOOKUP(calls[[#This Row],[Customer ID]],customers[Customer ID],customers[City])</f>
        <v>Cleveland</v>
      </c>
      <c r="N877">
        <f>_xlfn.XLOOKUP(calls[[#This Row],[Customer ID]],customers[Customer ID],customers[Age])</f>
        <v>37</v>
      </c>
      <c r="O877" t="str">
        <f>_xlfn.XLOOKUP(calls[[#This Row],[Customer ID]],customers[Customer ID],customers[Gender])</f>
        <v>Female</v>
      </c>
    </row>
    <row r="878" spans="2:15" x14ac:dyDescent="0.55000000000000004">
      <c r="B878" t="s">
        <v>900</v>
      </c>
      <c r="C878" t="s">
        <v>8</v>
      </c>
      <c r="D878">
        <v>21</v>
      </c>
      <c r="E878" s="16" t="s">
        <v>10</v>
      </c>
      <c r="F878" s="17">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t="str">
        <f>_xlfn.XLOOKUP(calls[[#This Row],[Customer ID]],customers[Customer ID],customers[City])</f>
        <v>Cincinnati</v>
      </c>
      <c r="N878">
        <f>_xlfn.XLOOKUP(calls[[#This Row],[Customer ID]],customers[Customer ID],customers[Age])</f>
        <v>30</v>
      </c>
      <c r="O878" t="str">
        <f>_xlfn.XLOOKUP(calls[[#This Row],[Customer ID]],customers[Customer ID],customers[Gender])</f>
        <v>Female</v>
      </c>
    </row>
    <row r="879" spans="2:15" x14ac:dyDescent="0.55000000000000004">
      <c r="B879" t="s">
        <v>901</v>
      </c>
      <c r="C879" t="s">
        <v>12</v>
      </c>
      <c r="D879">
        <v>94</v>
      </c>
      <c r="E879" s="16" t="s">
        <v>10</v>
      </c>
      <c r="F879" s="17">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t="str">
        <f>_xlfn.XLOOKUP(calls[[#This Row],[Customer ID]],customers[Customer ID],customers[City])</f>
        <v>Cincinnati</v>
      </c>
      <c r="N879">
        <f>_xlfn.XLOOKUP(calls[[#This Row],[Customer ID]],customers[Customer ID],customers[Age])</f>
        <v>36</v>
      </c>
      <c r="O879" t="str">
        <f>_xlfn.XLOOKUP(calls[[#This Row],[Customer ID]],customers[Customer ID],customers[Gender])</f>
        <v>Male</v>
      </c>
    </row>
    <row r="880" spans="2:15" x14ac:dyDescent="0.55000000000000004">
      <c r="B880" t="s">
        <v>902</v>
      </c>
      <c r="C880" t="s">
        <v>21</v>
      </c>
      <c r="D880">
        <v>97</v>
      </c>
      <c r="E880" s="16" t="s">
        <v>11</v>
      </c>
      <c r="F880" s="17">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t="str">
        <f>_xlfn.XLOOKUP(calls[[#This Row],[Customer ID]],customers[Customer ID],customers[City])</f>
        <v>Columbus</v>
      </c>
      <c r="N880">
        <f>_xlfn.XLOOKUP(calls[[#This Row],[Customer ID]],customers[Customer ID],customers[Age])</f>
        <v>38</v>
      </c>
      <c r="O880" t="str">
        <f>_xlfn.XLOOKUP(calls[[#This Row],[Customer ID]],customers[Customer ID],customers[Gender])</f>
        <v>Female</v>
      </c>
    </row>
    <row r="881" spans="2:15" x14ac:dyDescent="0.55000000000000004">
      <c r="B881" t="s">
        <v>903</v>
      </c>
      <c r="C881" t="s">
        <v>24</v>
      </c>
      <c r="D881">
        <v>72</v>
      </c>
      <c r="E881" s="16" t="s">
        <v>11</v>
      </c>
      <c r="F881" s="17">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t="str">
        <f>_xlfn.XLOOKUP(calls[[#This Row],[Customer ID]],customers[Customer ID],customers[City])</f>
        <v>Cleveland</v>
      </c>
      <c r="N881">
        <f>_xlfn.XLOOKUP(calls[[#This Row],[Customer ID]],customers[Customer ID],customers[Age])</f>
        <v>31</v>
      </c>
      <c r="O881" t="str">
        <f>_xlfn.XLOOKUP(calls[[#This Row],[Customer ID]],customers[Customer ID],customers[Gender])</f>
        <v>Male</v>
      </c>
    </row>
    <row r="882" spans="2:15" x14ac:dyDescent="0.55000000000000004">
      <c r="B882" t="s">
        <v>904</v>
      </c>
      <c r="C882" t="s">
        <v>14</v>
      </c>
      <c r="D882">
        <v>143</v>
      </c>
      <c r="E882" s="16" t="s">
        <v>13</v>
      </c>
      <c r="F882" s="17">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t="str">
        <f>_xlfn.XLOOKUP(calls[[#This Row],[Customer ID]],customers[Customer ID],customers[City])</f>
        <v>Cleveland</v>
      </c>
      <c r="N882">
        <f>_xlfn.XLOOKUP(calls[[#This Row],[Customer ID]],customers[Customer ID],customers[Age])</f>
        <v>37</v>
      </c>
      <c r="O882" t="str">
        <f>_xlfn.XLOOKUP(calls[[#This Row],[Customer ID]],customers[Customer ID],customers[Gender])</f>
        <v>Female</v>
      </c>
    </row>
    <row r="883" spans="2:15" x14ac:dyDescent="0.55000000000000004">
      <c r="B883" t="s">
        <v>905</v>
      </c>
      <c r="C883" t="s">
        <v>14</v>
      </c>
      <c r="D883">
        <v>64</v>
      </c>
      <c r="E883" s="16" t="s">
        <v>11</v>
      </c>
      <c r="F883" s="17">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t="str">
        <f>_xlfn.XLOOKUP(calls[[#This Row],[Customer ID]],customers[Customer ID],customers[City])</f>
        <v>Cleveland</v>
      </c>
      <c r="N883">
        <f>_xlfn.XLOOKUP(calls[[#This Row],[Customer ID]],customers[Customer ID],customers[Age])</f>
        <v>37</v>
      </c>
      <c r="O883" t="str">
        <f>_xlfn.XLOOKUP(calls[[#This Row],[Customer ID]],customers[Customer ID],customers[Gender])</f>
        <v>Female</v>
      </c>
    </row>
    <row r="884" spans="2:15" x14ac:dyDescent="0.55000000000000004">
      <c r="B884" t="s">
        <v>906</v>
      </c>
      <c r="C884" t="s">
        <v>14</v>
      </c>
      <c r="D884">
        <v>69</v>
      </c>
      <c r="E884" s="16" t="s">
        <v>11</v>
      </c>
      <c r="F884" s="17">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t="str">
        <f>_xlfn.XLOOKUP(calls[[#This Row],[Customer ID]],customers[Customer ID],customers[City])</f>
        <v>Cleveland</v>
      </c>
      <c r="N884">
        <f>_xlfn.XLOOKUP(calls[[#This Row],[Customer ID]],customers[Customer ID],customers[Age])</f>
        <v>37</v>
      </c>
      <c r="O884" t="str">
        <f>_xlfn.XLOOKUP(calls[[#This Row],[Customer ID]],customers[Customer ID],customers[Gender])</f>
        <v>Female</v>
      </c>
    </row>
    <row r="885" spans="2:15" x14ac:dyDescent="0.55000000000000004">
      <c r="B885" t="s">
        <v>907</v>
      </c>
      <c r="C885" t="s">
        <v>14</v>
      </c>
      <c r="D885">
        <v>18</v>
      </c>
      <c r="E885" s="16" t="s">
        <v>6</v>
      </c>
      <c r="F885" s="17">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t="str">
        <f>_xlfn.XLOOKUP(calls[[#This Row],[Customer ID]],customers[Customer ID],customers[City])</f>
        <v>Cleveland</v>
      </c>
      <c r="N885">
        <f>_xlfn.XLOOKUP(calls[[#This Row],[Customer ID]],customers[Customer ID],customers[Age])</f>
        <v>37</v>
      </c>
      <c r="O885" t="str">
        <f>_xlfn.XLOOKUP(calls[[#This Row],[Customer ID]],customers[Customer ID],customers[Gender])</f>
        <v>Female</v>
      </c>
    </row>
    <row r="886" spans="2:15" x14ac:dyDescent="0.55000000000000004">
      <c r="B886" t="s">
        <v>908</v>
      </c>
      <c r="C886" t="s">
        <v>21</v>
      </c>
      <c r="D886">
        <v>100</v>
      </c>
      <c r="E886" s="16" t="s">
        <v>13</v>
      </c>
      <c r="F886" s="17">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t="str">
        <f>_xlfn.XLOOKUP(calls[[#This Row],[Customer ID]],customers[Customer ID],customers[City])</f>
        <v>Columbus</v>
      </c>
      <c r="N886">
        <f>_xlfn.XLOOKUP(calls[[#This Row],[Customer ID]],customers[Customer ID],customers[Age])</f>
        <v>38</v>
      </c>
      <c r="O886" t="str">
        <f>_xlfn.XLOOKUP(calls[[#This Row],[Customer ID]],customers[Customer ID],customers[Gender])</f>
        <v>Female</v>
      </c>
    </row>
    <row r="887" spans="2:15" x14ac:dyDescent="0.55000000000000004">
      <c r="B887" t="s">
        <v>909</v>
      </c>
      <c r="C887" t="s">
        <v>18</v>
      </c>
      <c r="D887">
        <v>110</v>
      </c>
      <c r="E887" s="16" t="s">
        <v>9</v>
      </c>
      <c r="F887" s="17">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t="str">
        <f>_xlfn.XLOOKUP(calls[[#This Row],[Customer ID]],customers[Customer ID],customers[City])</f>
        <v>Cleveland</v>
      </c>
      <c r="N887">
        <f>_xlfn.XLOOKUP(calls[[#This Row],[Customer ID]],customers[Customer ID],customers[Age])</f>
        <v>30</v>
      </c>
      <c r="O887" t="str">
        <f>_xlfn.XLOOKUP(calls[[#This Row],[Customer ID]],customers[Customer ID],customers[Gender])</f>
        <v>Female</v>
      </c>
    </row>
    <row r="888" spans="2:15" x14ac:dyDescent="0.55000000000000004">
      <c r="B888" t="s">
        <v>910</v>
      </c>
      <c r="C888" t="s">
        <v>7</v>
      </c>
      <c r="D888">
        <v>41</v>
      </c>
      <c r="E888" s="16" t="s">
        <v>10</v>
      </c>
      <c r="F888" s="17">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t="str">
        <f>_xlfn.XLOOKUP(calls[[#This Row],[Customer ID]],customers[Customer ID],customers[City])</f>
        <v>Columbus</v>
      </c>
      <c r="N888">
        <f>_xlfn.XLOOKUP(calls[[#This Row],[Customer ID]],customers[Customer ID],customers[Age])</f>
        <v>23</v>
      </c>
      <c r="O888" t="str">
        <f>_xlfn.XLOOKUP(calls[[#This Row],[Customer ID]],customers[Customer ID],customers[Gender])</f>
        <v>Male</v>
      </c>
    </row>
    <row r="889" spans="2:15" x14ac:dyDescent="0.55000000000000004">
      <c r="B889" t="s">
        <v>911</v>
      </c>
      <c r="C889" t="s">
        <v>18</v>
      </c>
      <c r="D889">
        <v>147</v>
      </c>
      <c r="E889" s="16" t="s">
        <v>9</v>
      </c>
      <c r="F889" s="17">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t="str">
        <f>_xlfn.XLOOKUP(calls[[#This Row],[Customer ID]],customers[Customer ID],customers[City])</f>
        <v>Cleveland</v>
      </c>
      <c r="N889">
        <f>_xlfn.XLOOKUP(calls[[#This Row],[Customer ID]],customers[Customer ID],customers[Age])</f>
        <v>30</v>
      </c>
      <c r="O889" t="str">
        <f>_xlfn.XLOOKUP(calls[[#This Row],[Customer ID]],customers[Customer ID],customers[Gender])</f>
        <v>Female</v>
      </c>
    </row>
    <row r="890" spans="2:15" x14ac:dyDescent="0.55000000000000004">
      <c r="B890" t="s">
        <v>912</v>
      </c>
      <c r="C890" t="s">
        <v>12</v>
      </c>
      <c r="D890">
        <v>31</v>
      </c>
      <c r="E890" s="16" t="s">
        <v>6</v>
      </c>
      <c r="F890" s="17">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t="str">
        <f>_xlfn.XLOOKUP(calls[[#This Row],[Customer ID]],customers[Customer ID],customers[City])</f>
        <v>Cincinnati</v>
      </c>
      <c r="N890">
        <f>_xlfn.XLOOKUP(calls[[#This Row],[Customer ID]],customers[Customer ID],customers[Age])</f>
        <v>36</v>
      </c>
      <c r="O890" t="str">
        <f>_xlfn.XLOOKUP(calls[[#This Row],[Customer ID]],customers[Customer ID],customers[Gender])</f>
        <v>Male</v>
      </c>
    </row>
    <row r="891" spans="2:15" x14ac:dyDescent="0.55000000000000004">
      <c r="B891" t="s">
        <v>913</v>
      </c>
      <c r="C891" t="s">
        <v>17</v>
      </c>
      <c r="D891">
        <v>142</v>
      </c>
      <c r="E891" s="16" t="s">
        <v>10</v>
      </c>
      <c r="F891" s="17">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t="str">
        <f>_xlfn.XLOOKUP(calls[[#This Row],[Customer ID]],customers[Customer ID],customers[City])</f>
        <v>Columbus</v>
      </c>
      <c r="N891">
        <f>_xlfn.XLOOKUP(calls[[#This Row],[Customer ID]],customers[Customer ID],customers[Age])</f>
        <v>41</v>
      </c>
      <c r="O891" t="str">
        <f>_xlfn.XLOOKUP(calls[[#This Row],[Customer ID]],customers[Customer ID],customers[Gender])</f>
        <v>Male</v>
      </c>
    </row>
    <row r="892" spans="2:15" x14ac:dyDescent="0.55000000000000004">
      <c r="B892" t="s">
        <v>914</v>
      </c>
      <c r="C892" t="s">
        <v>22</v>
      </c>
      <c r="D892">
        <v>61</v>
      </c>
      <c r="E892" s="16" t="s">
        <v>10</v>
      </c>
      <c r="F892" s="17">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t="str">
        <f>_xlfn.XLOOKUP(calls[[#This Row],[Customer ID]],customers[Customer ID],customers[City])</f>
        <v>Columbus</v>
      </c>
      <c r="N892">
        <f>_xlfn.XLOOKUP(calls[[#This Row],[Customer ID]],customers[Customer ID],customers[Age])</f>
        <v>25</v>
      </c>
      <c r="O892" t="str">
        <f>_xlfn.XLOOKUP(calls[[#This Row],[Customer ID]],customers[Customer ID],customers[Gender])</f>
        <v>Female</v>
      </c>
    </row>
    <row r="893" spans="2:15" x14ac:dyDescent="0.55000000000000004">
      <c r="B893" t="s">
        <v>915</v>
      </c>
      <c r="C893" t="s">
        <v>20</v>
      </c>
      <c r="D893">
        <v>86</v>
      </c>
      <c r="E893" s="16" t="s">
        <v>6</v>
      </c>
      <c r="F893" s="17">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t="str">
        <f>_xlfn.XLOOKUP(calls[[#This Row],[Customer ID]],customers[Customer ID],customers[City])</f>
        <v>Cincinnati</v>
      </c>
      <c r="N893">
        <f>_xlfn.XLOOKUP(calls[[#This Row],[Customer ID]],customers[Customer ID],customers[Age])</f>
        <v>26</v>
      </c>
      <c r="O893" t="str">
        <f>_xlfn.XLOOKUP(calls[[#This Row],[Customer ID]],customers[Customer ID],customers[Gender])</f>
        <v>Male</v>
      </c>
    </row>
    <row r="894" spans="2:15" x14ac:dyDescent="0.55000000000000004">
      <c r="B894" t="s">
        <v>916</v>
      </c>
      <c r="C894" t="s">
        <v>23</v>
      </c>
      <c r="D894">
        <v>165</v>
      </c>
      <c r="E894" s="16" t="s">
        <v>13</v>
      </c>
      <c r="F894" s="17">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t="str">
        <f>_xlfn.XLOOKUP(calls[[#This Row],[Customer ID]],customers[Customer ID],customers[City])</f>
        <v>Columbus</v>
      </c>
      <c r="N894">
        <f>_xlfn.XLOOKUP(calls[[#This Row],[Customer ID]],customers[Customer ID],customers[Age])</f>
        <v>37</v>
      </c>
      <c r="O894" t="str">
        <f>_xlfn.XLOOKUP(calls[[#This Row],[Customer ID]],customers[Customer ID],customers[Gender])</f>
        <v>Male</v>
      </c>
    </row>
    <row r="895" spans="2:15" x14ac:dyDescent="0.55000000000000004">
      <c r="B895" t="s">
        <v>917</v>
      </c>
      <c r="C895" t="s">
        <v>5</v>
      </c>
      <c r="D895">
        <v>62</v>
      </c>
      <c r="E895" s="16" t="s">
        <v>9</v>
      </c>
      <c r="F895" s="17">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t="str">
        <f>_xlfn.XLOOKUP(calls[[#This Row],[Customer ID]],customers[Customer ID],customers[City])</f>
        <v>Cleveland</v>
      </c>
      <c r="N895">
        <f>_xlfn.XLOOKUP(calls[[#This Row],[Customer ID]],customers[Customer ID],customers[Age])</f>
        <v>42</v>
      </c>
      <c r="O895" t="str">
        <f>_xlfn.XLOOKUP(calls[[#This Row],[Customer ID]],customers[Customer ID],customers[Gender])</f>
        <v>Female</v>
      </c>
    </row>
    <row r="896" spans="2:15" x14ac:dyDescent="0.55000000000000004">
      <c r="B896" t="s">
        <v>918</v>
      </c>
      <c r="C896" t="s">
        <v>21</v>
      </c>
      <c r="D896">
        <v>103</v>
      </c>
      <c r="E896" s="16" t="s">
        <v>13</v>
      </c>
      <c r="F896" s="17">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t="str">
        <f>_xlfn.XLOOKUP(calls[[#This Row],[Customer ID]],customers[Customer ID],customers[City])</f>
        <v>Columbus</v>
      </c>
      <c r="N896">
        <f>_xlfn.XLOOKUP(calls[[#This Row],[Customer ID]],customers[Customer ID],customers[Age])</f>
        <v>38</v>
      </c>
      <c r="O896" t="str">
        <f>_xlfn.XLOOKUP(calls[[#This Row],[Customer ID]],customers[Customer ID],customers[Gender])</f>
        <v>Female</v>
      </c>
    </row>
    <row r="897" spans="2:15" x14ac:dyDescent="0.55000000000000004">
      <c r="B897" t="s">
        <v>919</v>
      </c>
      <c r="C897" t="s">
        <v>17</v>
      </c>
      <c r="D897">
        <v>56</v>
      </c>
      <c r="E897" s="16" t="s">
        <v>6</v>
      </c>
      <c r="F897" s="17">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t="str">
        <f>_xlfn.XLOOKUP(calls[[#This Row],[Customer ID]],customers[Customer ID],customers[City])</f>
        <v>Columbus</v>
      </c>
      <c r="N897">
        <f>_xlfn.XLOOKUP(calls[[#This Row],[Customer ID]],customers[Customer ID],customers[Age])</f>
        <v>41</v>
      </c>
      <c r="O897" t="str">
        <f>_xlfn.XLOOKUP(calls[[#This Row],[Customer ID]],customers[Customer ID],customers[Gender])</f>
        <v>Male</v>
      </c>
    </row>
    <row r="898" spans="2:15" x14ac:dyDescent="0.55000000000000004">
      <c r="B898" t="s">
        <v>920</v>
      </c>
      <c r="C898" t="s">
        <v>16</v>
      </c>
      <c r="D898">
        <v>114</v>
      </c>
      <c r="E898" s="16" t="s">
        <v>10</v>
      </c>
      <c r="F898" s="17">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t="str">
        <f>_xlfn.XLOOKUP(calls[[#This Row],[Customer ID]],customers[Customer ID],customers[City])</f>
        <v>Cincinnati</v>
      </c>
      <c r="N898">
        <f>_xlfn.XLOOKUP(calls[[#This Row],[Customer ID]],customers[Customer ID],customers[Age])</f>
        <v>28</v>
      </c>
      <c r="O898" t="str">
        <f>_xlfn.XLOOKUP(calls[[#This Row],[Customer ID]],customers[Customer ID],customers[Gender])</f>
        <v>Female</v>
      </c>
    </row>
    <row r="899" spans="2:15" x14ac:dyDescent="0.55000000000000004">
      <c r="B899" t="s">
        <v>921</v>
      </c>
      <c r="C899" t="s">
        <v>17</v>
      </c>
      <c r="D899">
        <v>112</v>
      </c>
      <c r="E899" s="16" t="s">
        <v>11</v>
      </c>
      <c r="F899" s="17">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t="str">
        <f>_xlfn.XLOOKUP(calls[[#This Row],[Customer ID]],customers[Customer ID],customers[City])</f>
        <v>Columbus</v>
      </c>
      <c r="N899">
        <f>_xlfn.XLOOKUP(calls[[#This Row],[Customer ID]],customers[Customer ID],customers[Age])</f>
        <v>41</v>
      </c>
      <c r="O899" t="str">
        <f>_xlfn.XLOOKUP(calls[[#This Row],[Customer ID]],customers[Customer ID],customers[Gender])</f>
        <v>Male</v>
      </c>
    </row>
    <row r="900" spans="2:15" x14ac:dyDescent="0.55000000000000004">
      <c r="B900" t="s">
        <v>922</v>
      </c>
      <c r="C900" t="s">
        <v>15</v>
      </c>
      <c r="D900">
        <v>52</v>
      </c>
      <c r="E900" s="16" t="s">
        <v>9</v>
      </c>
      <c r="F900" s="17">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t="str">
        <f>_xlfn.XLOOKUP(calls[[#This Row],[Customer ID]],customers[Customer ID],customers[City])</f>
        <v>Cleveland</v>
      </c>
      <c r="N900">
        <f>_xlfn.XLOOKUP(calls[[#This Row],[Customer ID]],customers[Customer ID],customers[Age])</f>
        <v>22</v>
      </c>
      <c r="O900" t="str">
        <f>_xlfn.XLOOKUP(calls[[#This Row],[Customer ID]],customers[Customer ID],customers[Gender])</f>
        <v>Female</v>
      </c>
    </row>
    <row r="901" spans="2:15" x14ac:dyDescent="0.55000000000000004">
      <c r="B901" t="s">
        <v>923</v>
      </c>
      <c r="C901" t="s">
        <v>21</v>
      </c>
      <c r="D901">
        <v>105</v>
      </c>
      <c r="E901" s="16" t="s">
        <v>13</v>
      </c>
      <c r="F901" s="17">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t="str">
        <f>_xlfn.XLOOKUP(calls[[#This Row],[Customer ID]],customers[Customer ID],customers[City])</f>
        <v>Columbus</v>
      </c>
      <c r="N901">
        <f>_xlfn.XLOOKUP(calls[[#This Row],[Customer ID]],customers[Customer ID],customers[Age])</f>
        <v>38</v>
      </c>
      <c r="O901" t="str">
        <f>_xlfn.XLOOKUP(calls[[#This Row],[Customer ID]],customers[Customer ID],customers[Gender])</f>
        <v>Female</v>
      </c>
    </row>
    <row r="902" spans="2:15" x14ac:dyDescent="0.55000000000000004">
      <c r="B902" t="s">
        <v>924</v>
      </c>
      <c r="C902" t="s">
        <v>23</v>
      </c>
      <c r="D902">
        <v>91</v>
      </c>
      <c r="E902" s="16" t="s">
        <v>6</v>
      </c>
      <c r="F902" s="17">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t="str">
        <f>_xlfn.XLOOKUP(calls[[#This Row],[Customer ID]],customers[Customer ID],customers[City])</f>
        <v>Columbus</v>
      </c>
      <c r="N902">
        <f>_xlfn.XLOOKUP(calls[[#This Row],[Customer ID]],customers[Customer ID],customers[Age])</f>
        <v>37</v>
      </c>
      <c r="O902" t="str">
        <f>_xlfn.XLOOKUP(calls[[#This Row],[Customer ID]],customers[Customer ID],customers[Gender])</f>
        <v>Male</v>
      </c>
    </row>
    <row r="903" spans="2:15" x14ac:dyDescent="0.55000000000000004">
      <c r="B903" t="s">
        <v>925</v>
      </c>
      <c r="C903" t="s">
        <v>19</v>
      </c>
      <c r="D903">
        <v>74</v>
      </c>
      <c r="E903" s="16" t="s">
        <v>10</v>
      </c>
      <c r="F903" s="17">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t="str">
        <f>_xlfn.XLOOKUP(calls[[#This Row],[Customer ID]],customers[Customer ID],customers[City])</f>
        <v>Cleveland</v>
      </c>
      <c r="N903">
        <f>_xlfn.XLOOKUP(calls[[#This Row],[Customer ID]],customers[Customer ID],customers[Age])</f>
        <v>43</v>
      </c>
      <c r="O903" t="str">
        <f>_xlfn.XLOOKUP(calls[[#This Row],[Customer ID]],customers[Customer ID],customers[Gender])</f>
        <v>Female</v>
      </c>
    </row>
    <row r="904" spans="2:15" x14ac:dyDescent="0.55000000000000004">
      <c r="B904" t="s">
        <v>926</v>
      </c>
      <c r="C904" t="s">
        <v>19</v>
      </c>
      <c r="D904">
        <v>30</v>
      </c>
      <c r="E904" s="16" t="s">
        <v>6</v>
      </c>
      <c r="F904" s="17">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t="str">
        <f>_xlfn.XLOOKUP(calls[[#This Row],[Customer ID]],customers[Customer ID],customers[City])</f>
        <v>Cleveland</v>
      </c>
      <c r="N904">
        <f>_xlfn.XLOOKUP(calls[[#This Row],[Customer ID]],customers[Customer ID],customers[Age])</f>
        <v>43</v>
      </c>
      <c r="O904" t="str">
        <f>_xlfn.XLOOKUP(calls[[#This Row],[Customer ID]],customers[Customer ID],customers[Gender])</f>
        <v>Female</v>
      </c>
    </row>
    <row r="905" spans="2:15" x14ac:dyDescent="0.55000000000000004">
      <c r="B905" t="s">
        <v>927</v>
      </c>
      <c r="C905" t="s">
        <v>23</v>
      </c>
      <c r="D905">
        <v>56</v>
      </c>
      <c r="E905" s="16" t="s">
        <v>9</v>
      </c>
      <c r="F905" s="17">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t="str">
        <f>_xlfn.XLOOKUP(calls[[#This Row],[Customer ID]],customers[Customer ID],customers[City])</f>
        <v>Columbus</v>
      </c>
      <c r="N905">
        <f>_xlfn.XLOOKUP(calls[[#This Row],[Customer ID]],customers[Customer ID],customers[Age])</f>
        <v>37</v>
      </c>
      <c r="O905" t="str">
        <f>_xlfn.XLOOKUP(calls[[#This Row],[Customer ID]],customers[Customer ID],customers[Gender])</f>
        <v>Male</v>
      </c>
    </row>
    <row r="906" spans="2:15" x14ac:dyDescent="0.55000000000000004">
      <c r="B906" t="s">
        <v>928</v>
      </c>
      <c r="C906" t="s">
        <v>19</v>
      </c>
      <c r="D906">
        <v>151</v>
      </c>
      <c r="E906" s="16" t="s">
        <v>11</v>
      </c>
      <c r="F906" s="17">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t="str">
        <f>_xlfn.XLOOKUP(calls[[#This Row],[Customer ID]],customers[Customer ID],customers[City])</f>
        <v>Cleveland</v>
      </c>
      <c r="N906">
        <f>_xlfn.XLOOKUP(calls[[#This Row],[Customer ID]],customers[Customer ID],customers[Age])</f>
        <v>43</v>
      </c>
      <c r="O906" t="str">
        <f>_xlfn.XLOOKUP(calls[[#This Row],[Customer ID]],customers[Customer ID],customers[Gender])</f>
        <v>Female</v>
      </c>
    </row>
    <row r="907" spans="2:15" x14ac:dyDescent="0.55000000000000004">
      <c r="B907" t="s">
        <v>929</v>
      </c>
      <c r="C907" t="s">
        <v>12</v>
      </c>
      <c r="D907">
        <v>108</v>
      </c>
      <c r="E907" s="16" t="s">
        <v>13</v>
      </c>
      <c r="F907" s="17">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t="str">
        <f>_xlfn.XLOOKUP(calls[[#This Row],[Customer ID]],customers[Customer ID],customers[City])</f>
        <v>Cincinnati</v>
      </c>
      <c r="N907">
        <f>_xlfn.XLOOKUP(calls[[#This Row],[Customer ID]],customers[Customer ID],customers[Age])</f>
        <v>36</v>
      </c>
      <c r="O907" t="str">
        <f>_xlfn.XLOOKUP(calls[[#This Row],[Customer ID]],customers[Customer ID],customers[Gender])</f>
        <v>Male</v>
      </c>
    </row>
    <row r="908" spans="2:15" x14ac:dyDescent="0.55000000000000004">
      <c r="B908" t="s">
        <v>930</v>
      </c>
      <c r="C908" t="s">
        <v>16</v>
      </c>
      <c r="D908">
        <v>124</v>
      </c>
      <c r="E908" s="16" t="s">
        <v>10</v>
      </c>
      <c r="F908" s="17">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t="str">
        <f>_xlfn.XLOOKUP(calls[[#This Row],[Customer ID]],customers[Customer ID],customers[City])</f>
        <v>Cincinnati</v>
      </c>
      <c r="N908">
        <f>_xlfn.XLOOKUP(calls[[#This Row],[Customer ID]],customers[Customer ID],customers[Age])</f>
        <v>28</v>
      </c>
      <c r="O908" t="str">
        <f>_xlfn.XLOOKUP(calls[[#This Row],[Customer ID]],customers[Customer ID],customers[Gender])</f>
        <v>Female</v>
      </c>
    </row>
    <row r="909" spans="2:15" x14ac:dyDescent="0.55000000000000004">
      <c r="B909" t="s">
        <v>931</v>
      </c>
      <c r="C909" t="s">
        <v>21</v>
      </c>
      <c r="D909">
        <v>110</v>
      </c>
      <c r="E909" s="16" t="s">
        <v>9</v>
      </c>
      <c r="F909" s="17">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t="str">
        <f>_xlfn.XLOOKUP(calls[[#This Row],[Customer ID]],customers[Customer ID],customers[City])</f>
        <v>Columbus</v>
      </c>
      <c r="N909">
        <f>_xlfn.XLOOKUP(calls[[#This Row],[Customer ID]],customers[Customer ID],customers[Age])</f>
        <v>38</v>
      </c>
      <c r="O909" t="str">
        <f>_xlfn.XLOOKUP(calls[[#This Row],[Customer ID]],customers[Customer ID],customers[Gender])</f>
        <v>Female</v>
      </c>
    </row>
    <row r="910" spans="2:15" x14ac:dyDescent="0.55000000000000004">
      <c r="B910" t="s">
        <v>932</v>
      </c>
      <c r="C910" t="s">
        <v>18</v>
      </c>
      <c r="D910">
        <v>89</v>
      </c>
      <c r="E910" s="16" t="s">
        <v>13</v>
      </c>
      <c r="F910" s="17">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t="str">
        <f>_xlfn.XLOOKUP(calls[[#This Row],[Customer ID]],customers[Customer ID],customers[City])</f>
        <v>Cleveland</v>
      </c>
      <c r="N910">
        <f>_xlfn.XLOOKUP(calls[[#This Row],[Customer ID]],customers[Customer ID],customers[Age])</f>
        <v>30</v>
      </c>
      <c r="O910" t="str">
        <f>_xlfn.XLOOKUP(calls[[#This Row],[Customer ID]],customers[Customer ID],customers[Gender])</f>
        <v>Female</v>
      </c>
    </row>
    <row r="911" spans="2:15" x14ac:dyDescent="0.55000000000000004">
      <c r="B911" t="s">
        <v>933</v>
      </c>
      <c r="C911" t="s">
        <v>20</v>
      </c>
      <c r="D911">
        <v>95</v>
      </c>
      <c r="E911" s="16" t="s">
        <v>9</v>
      </c>
      <c r="F911" s="17">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t="str">
        <f>_xlfn.XLOOKUP(calls[[#This Row],[Customer ID]],customers[Customer ID],customers[City])</f>
        <v>Cincinnati</v>
      </c>
      <c r="N911">
        <f>_xlfn.XLOOKUP(calls[[#This Row],[Customer ID]],customers[Customer ID],customers[Age])</f>
        <v>26</v>
      </c>
      <c r="O911" t="str">
        <f>_xlfn.XLOOKUP(calls[[#This Row],[Customer ID]],customers[Customer ID],customers[Gender])</f>
        <v>Male</v>
      </c>
    </row>
    <row r="912" spans="2:15" x14ac:dyDescent="0.55000000000000004">
      <c r="B912" t="s">
        <v>934</v>
      </c>
      <c r="C912" t="s">
        <v>19</v>
      </c>
      <c r="D912">
        <v>84</v>
      </c>
      <c r="E912" s="16" t="s">
        <v>13</v>
      </c>
      <c r="F912" s="17">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t="str">
        <f>_xlfn.XLOOKUP(calls[[#This Row],[Customer ID]],customers[Customer ID],customers[City])</f>
        <v>Cleveland</v>
      </c>
      <c r="N912">
        <f>_xlfn.XLOOKUP(calls[[#This Row],[Customer ID]],customers[Customer ID],customers[Age])</f>
        <v>43</v>
      </c>
      <c r="O912" t="str">
        <f>_xlfn.XLOOKUP(calls[[#This Row],[Customer ID]],customers[Customer ID],customers[Gender])</f>
        <v>Female</v>
      </c>
    </row>
    <row r="913" spans="2:15" x14ac:dyDescent="0.55000000000000004">
      <c r="B913" t="s">
        <v>935</v>
      </c>
      <c r="C913" t="s">
        <v>24</v>
      </c>
      <c r="D913">
        <v>89</v>
      </c>
      <c r="E913" s="16" t="s">
        <v>10</v>
      </c>
      <c r="F913" s="17">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t="str">
        <f>_xlfn.XLOOKUP(calls[[#This Row],[Customer ID]],customers[Customer ID],customers[City])</f>
        <v>Cleveland</v>
      </c>
      <c r="N913">
        <f>_xlfn.XLOOKUP(calls[[#This Row],[Customer ID]],customers[Customer ID],customers[Age])</f>
        <v>31</v>
      </c>
      <c r="O913" t="str">
        <f>_xlfn.XLOOKUP(calls[[#This Row],[Customer ID]],customers[Customer ID],customers[Gender])</f>
        <v>Male</v>
      </c>
    </row>
    <row r="914" spans="2:15" x14ac:dyDescent="0.55000000000000004">
      <c r="B914" t="s">
        <v>936</v>
      </c>
      <c r="C914" t="s">
        <v>18</v>
      </c>
      <c r="D914">
        <v>146</v>
      </c>
      <c r="E914" s="16" t="s">
        <v>10</v>
      </c>
      <c r="F914" s="17">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t="str">
        <f>_xlfn.XLOOKUP(calls[[#This Row],[Customer ID]],customers[Customer ID],customers[City])</f>
        <v>Cleveland</v>
      </c>
      <c r="N914">
        <f>_xlfn.XLOOKUP(calls[[#This Row],[Customer ID]],customers[Customer ID],customers[Age])</f>
        <v>30</v>
      </c>
      <c r="O914" t="str">
        <f>_xlfn.XLOOKUP(calls[[#This Row],[Customer ID]],customers[Customer ID],customers[Gender])</f>
        <v>Female</v>
      </c>
    </row>
    <row r="915" spans="2:15" x14ac:dyDescent="0.55000000000000004">
      <c r="B915" t="s">
        <v>937</v>
      </c>
      <c r="C915" t="s">
        <v>14</v>
      </c>
      <c r="D915">
        <v>62</v>
      </c>
      <c r="E915" s="16" t="s">
        <v>6</v>
      </c>
      <c r="F915" s="17">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t="str">
        <f>_xlfn.XLOOKUP(calls[[#This Row],[Customer ID]],customers[Customer ID],customers[City])</f>
        <v>Cleveland</v>
      </c>
      <c r="N915">
        <f>_xlfn.XLOOKUP(calls[[#This Row],[Customer ID]],customers[Customer ID],customers[Age])</f>
        <v>37</v>
      </c>
      <c r="O915" t="str">
        <f>_xlfn.XLOOKUP(calls[[#This Row],[Customer ID]],customers[Customer ID],customers[Gender])</f>
        <v>Female</v>
      </c>
    </row>
    <row r="916" spans="2:15" x14ac:dyDescent="0.55000000000000004">
      <c r="B916" t="s">
        <v>938</v>
      </c>
      <c r="C916" t="s">
        <v>17</v>
      </c>
      <c r="D916">
        <v>82</v>
      </c>
      <c r="E916" s="16" t="s">
        <v>10</v>
      </c>
      <c r="F916" s="17">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t="str">
        <f>_xlfn.XLOOKUP(calls[[#This Row],[Customer ID]],customers[Customer ID],customers[City])</f>
        <v>Columbus</v>
      </c>
      <c r="N916">
        <f>_xlfn.XLOOKUP(calls[[#This Row],[Customer ID]],customers[Customer ID],customers[Age])</f>
        <v>41</v>
      </c>
      <c r="O916" t="str">
        <f>_xlfn.XLOOKUP(calls[[#This Row],[Customer ID]],customers[Customer ID],customers[Gender])</f>
        <v>Male</v>
      </c>
    </row>
    <row r="917" spans="2:15" x14ac:dyDescent="0.55000000000000004">
      <c r="B917" t="s">
        <v>939</v>
      </c>
      <c r="C917" t="s">
        <v>22</v>
      </c>
      <c r="D917">
        <v>91</v>
      </c>
      <c r="E917" s="16" t="s">
        <v>11</v>
      </c>
      <c r="F917" s="17">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t="str">
        <f>_xlfn.XLOOKUP(calls[[#This Row],[Customer ID]],customers[Customer ID],customers[City])</f>
        <v>Columbus</v>
      </c>
      <c r="N917">
        <f>_xlfn.XLOOKUP(calls[[#This Row],[Customer ID]],customers[Customer ID],customers[Age])</f>
        <v>25</v>
      </c>
      <c r="O917" t="str">
        <f>_xlfn.XLOOKUP(calls[[#This Row],[Customer ID]],customers[Customer ID],customers[Gender])</f>
        <v>Female</v>
      </c>
    </row>
    <row r="918" spans="2:15" x14ac:dyDescent="0.55000000000000004">
      <c r="B918" t="s">
        <v>940</v>
      </c>
      <c r="C918" t="s">
        <v>24</v>
      </c>
      <c r="D918">
        <v>39</v>
      </c>
      <c r="E918" s="16" t="s">
        <v>10</v>
      </c>
      <c r="F918" s="17">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t="str">
        <f>_xlfn.XLOOKUP(calls[[#This Row],[Customer ID]],customers[Customer ID],customers[City])</f>
        <v>Cleveland</v>
      </c>
      <c r="N918">
        <f>_xlfn.XLOOKUP(calls[[#This Row],[Customer ID]],customers[Customer ID],customers[Age])</f>
        <v>31</v>
      </c>
      <c r="O918" t="str">
        <f>_xlfn.XLOOKUP(calls[[#This Row],[Customer ID]],customers[Customer ID],customers[Gender])</f>
        <v>Male</v>
      </c>
    </row>
    <row r="919" spans="2:15" x14ac:dyDescent="0.55000000000000004">
      <c r="B919" t="s">
        <v>941</v>
      </c>
      <c r="C919" t="s">
        <v>18</v>
      </c>
      <c r="D919">
        <v>149</v>
      </c>
      <c r="E919" s="16" t="s">
        <v>9</v>
      </c>
      <c r="F919" s="17">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t="str">
        <f>_xlfn.XLOOKUP(calls[[#This Row],[Customer ID]],customers[Customer ID],customers[City])</f>
        <v>Cleveland</v>
      </c>
      <c r="N919">
        <f>_xlfn.XLOOKUP(calls[[#This Row],[Customer ID]],customers[Customer ID],customers[Age])</f>
        <v>30</v>
      </c>
      <c r="O919" t="str">
        <f>_xlfn.XLOOKUP(calls[[#This Row],[Customer ID]],customers[Customer ID],customers[Gender])</f>
        <v>Female</v>
      </c>
    </row>
    <row r="920" spans="2:15" x14ac:dyDescent="0.55000000000000004">
      <c r="B920" t="s">
        <v>942</v>
      </c>
      <c r="C920" t="s">
        <v>17</v>
      </c>
      <c r="D920">
        <v>138</v>
      </c>
      <c r="E920" s="16" t="s">
        <v>6</v>
      </c>
      <c r="F920" s="17">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t="str">
        <f>_xlfn.XLOOKUP(calls[[#This Row],[Customer ID]],customers[Customer ID],customers[City])</f>
        <v>Columbus</v>
      </c>
      <c r="N920">
        <f>_xlfn.XLOOKUP(calls[[#This Row],[Customer ID]],customers[Customer ID],customers[Age])</f>
        <v>41</v>
      </c>
      <c r="O920" t="str">
        <f>_xlfn.XLOOKUP(calls[[#This Row],[Customer ID]],customers[Customer ID],customers[Gender])</f>
        <v>Male</v>
      </c>
    </row>
    <row r="921" spans="2:15" x14ac:dyDescent="0.55000000000000004">
      <c r="B921" t="s">
        <v>943</v>
      </c>
      <c r="C921" t="s">
        <v>14</v>
      </c>
      <c r="D921">
        <v>113</v>
      </c>
      <c r="E921" s="16" t="s">
        <v>9</v>
      </c>
      <c r="F921" s="17">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t="str">
        <f>_xlfn.XLOOKUP(calls[[#This Row],[Customer ID]],customers[Customer ID],customers[City])</f>
        <v>Cleveland</v>
      </c>
      <c r="N921">
        <f>_xlfn.XLOOKUP(calls[[#This Row],[Customer ID]],customers[Customer ID],customers[Age])</f>
        <v>37</v>
      </c>
      <c r="O921" t="str">
        <f>_xlfn.XLOOKUP(calls[[#This Row],[Customer ID]],customers[Customer ID],customers[Gender])</f>
        <v>Female</v>
      </c>
    </row>
    <row r="922" spans="2:15" x14ac:dyDescent="0.55000000000000004">
      <c r="B922" t="s">
        <v>944</v>
      </c>
      <c r="C922" t="s">
        <v>8</v>
      </c>
      <c r="D922">
        <v>88</v>
      </c>
      <c r="E922" s="16" t="s">
        <v>10</v>
      </c>
      <c r="F922" s="17">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t="str">
        <f>_xlfn.XLOOKUP(calls[[#This Row],[Customer ID]],customers[Customer ID],customers[City])</f>
        <v>Cincinnati</v>
      </c>
      <c r="N922">
        <f>_xlfn.XLOOKUP(calls[[#This Row],[Customer ID]],customers[Customer ID],customers[Age])</f>
        <v>30</v>
      </c>
      <c r="O922" t="str">
        <f>_xlfn.XLOOKUP(calls[[#This Row],[Customer ID]],customers[Customer ID],customers[Gender])</f>
        <v>Female</v>
      </c>
    </row>
    <row r="923" spans="2:15" x14ac:dyDescent="0.55000000000000004">
      <c r="B923" t="s">
        <v>945</v>
      </c>
      <c r="C923" t="s">
        <v>20</v>
      </c>
      <c r="D923">
        <v>64</v>
      </c>
      <c r="E923" s="16" t="s">
        <v>6</v>
      </c>
      <c r="F923" s="17">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t="str">
        <f>_xlfn.XLOOKUP(calls[[#This Row],[Customer ID]],customers[Customer ID],customers[City])</f>
        <v>Cincinnati</v>
      </c>
      <c r="N923">
        <f>_xlfn.XLOOKUP(calls[[#This Row],[Customer ID]],customers[Customer ID],customers[Age])</f>
        <v>26</v>
      </c>
      <c r="O923" t="str">
        <f>_xlfn.XLOOKUP(calls[[#This Row],[Customer ID]],customers[Customer ID],customers[Gender])</f>
        <v>Male</v>
      </c>
    </row>
    <row r="924" spans="2:15" x14ac:dyDescent="0.55000000000000004">
      <c r="B924" t="s">
        <v>946</v>
      </c>
      <c r="C924" t="s">
        <v>23</v>
      </c>
      <c r="D924">
        <v>53</v>
      </c>
      <c r="E924" s="16" t="s">
        <v>6</v>
      </c>
      <c r="F924" s="17">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t="str">
        <f>_xlfn.XLOOKUP(calls[[#This Row],[Customer ID]],customers[Customer ID],customers[City])</f>
        <v>Columbus</v>
      </c>
      <c r="N924">
        <f>_xlfn.XLOOKUP(calls[[#This Row],[Customer ID]],customers[Customer ID],customers[Age])</f>
        <v>37</v>
      </c>
      <c r="O924" t="str">
        <f>_xlfn.XLOOKUP(calls[[#This Row],[Customer ID]],customers[Customer ID],customers[Gender])</f>
        <v>Male</v>
      </c>
    </row>
    <row r="925" spans="2:15" x14ac:dyDescent="0.55000000000000004">
      <c r="B925" t="s">
        <v>947</v>
      </c>
      <c r="C925" t="s">
        <v>16</v>
      </c>
      <c r="D925">
        <v>63</v>
      </c>
      <c r="E925" s="16" t="s">
        <v>9</v>
      </c>
      <c r="F925" s="17">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t="str">
        <f>_xlfn.XLOOKUP(calls[[#This Row],[Customer ID]],customers[Customer ID],customers[City])</f>
        <v>Cincinnati</v>
      </c>
      <c r="N925">
        <f>_xlfn.XLOOKUP(calls[[#This Row],[Customer ID]],customers[Customer ID],customers[Age])</f>
        <v>28</v>
      </c>
      <c r="O925" t="str">
        <f>_xlfn.XLOOKUP(calls[[#This Row],[Customer ID]],customers[Customer ID],customers[Gender])</f>
        <v>Female</v>
      </c>
    </row>
    <row r="926" spans="2:15" x14ac:dyDescent="0.55000000000000004">
      <c r="B926" t="s">
        <v>948</v>
      </c>
      <c r="C926" t="s">
        <v>15</v>
      </c>
      <c r="D926">
        <v>54</v>
      </c>
      <c r="E926" s="16" t="s">
        <v>9</v>
      </c>
      <c r="F926" s="17">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t="str">
        <f>_xlfn.XLOOKUP(calls[[#This Row],[Customer ID]],customers[Customer ID],customers[City])</f>
        <v>Cleveland</v>
      </c>
      <c r="N926">
        <f>_xlfn.XLOOKUP(calls[[#This Row],[Customer ID]],customers[Customer ID],customers[Age])</f>
        <v>22</v>
      </c>
      <c r="O926" t="str">
        <f>_xlfn.XLOOKUP(calls[[#This Row],[Customer ID]],customers[Customer ID],customers[Gender])</f>
        <v>Female</v>
      </c>
    </row>
    <row r="927" spans="2:15" x14ac:dyDescent="0.55000000000000004">
      <c r="B927" t="s">
        <v>949</v>
      </c>
      <c r="C927" t="s">
        <v>16</v>
      </c>
      <c r="D927">
        <v>54</v>
      </c>
      <c r="E927" s="16" t="s">
        <v>10</v>
      </c>
      <c r="F927" s="17">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t="str">
        <f>_xlfn.XLOOKUP(calls[[#This Row],[Customer ID]],customers[Customer ID],customers[City])</f>
        <v>Cincinnati</v>
      </c>
      <c r="N927">
        <f>_xlfn.XLOOKUP(calls[[#This Row],[Customer ID]],customers[Customer ID],customers[Age])</f>
        <v>28</v>
      </c>
      <c r="O927" t="str">
        <f>_xlfn.XLOOKUP(calls[[#This Row],[Customer ID]],customers[Customer ID],customers[Gender])</f>
        <v>Female</v>
      </c>
    </row>
    <row r="928" spans="2:15" x14ac:dyDescent="0.55000000000000004">
      <c r="B928" t="s">
        <v>950</v>
      </c>
      <c r="C928" t="s">
        <v>18</v>
      </c>
      <c r="D928">
        <v>71</v>
      </c>
      <c r="E928" s="16" t="s">
        <v>6</v>
      </c>
      <c r="F928" s="17">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t="str">
        <f>_xlfn.XLOOKUP(calls[[#This Row],[Customer ID]],customers[Customer ID],customers[City])</f>
        <v>Cleveland</v>
      </c>
      <c r="N928">
        <f>_xlfn.XLOOKUP(calls[[#This Row],[Customer ID]],customers[Customer ID],customers[Age])</f>
        <v>30</v>
      </c>
      <c r="O928" t="str">
        <f>_xlfn.XLOOKUP(calls[[#This Row],[Customer ID]],customers[Customer ID],customers[Gender])</f>
        <v>Female</v>
      </c>
    </row>
    <row r="929" spans="2:15" x14ac:dyDescent="0.55000000000000004">
      <c r="B929" t="s">
        <v>951</v>
      </c>
      <c r="C929" t="s">
        <v>16</v>
      </c>
      <c r="D929">
        <v>93</v>
      </c>
      <c r="E929" s="16" t="s">
        <v>10</v>
      </c>
      <c r="F929" s="17">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t="str">
        <f>_xlfn.XLOOKUP(calls[[#This Row],[Customer ID]],customers[Customer ID],customers[City])</f>
        <v>Cincinnati</v>
      </c>
      <c r="N929">
        <f>_xlfn.XLOOKUP(calls[[#This Row],[Customer ID]],customers[Customer ID],customers[Age])</f>
        <v>28</v>
      </c>
      <c r="O929" t="str">
        <f>_xlfn.XLOOKUP(calls[[#This Row],[Customer ID]],customers[Customer ID],customers[Gender])</f>
        <v>Female</v>
      </c>
    </row>
    <row r="930" spans="2:15" x14ac:dyDescent="0.55000000000000004">
      <c r="B930" t="s">
        <v>952</v>
      </c>
      <c r="C930" t="s">
        <v>21</v>
      </c>
      <c r="D930">
        <v>96</v>
      </c>
      <c r="E930" s="16" t="s">
        <v>9</v>
      </c>
      <c r="F930" s="17">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t="str">
        <f>_xlfn.XLOOKUP(calls[[#This Row],[Customer ID]],customers[Customer ID],customers[City])</f>
        <v>Columbus</v>
      </c>
      <c r="N930">
        <f>_xlfn.XLOOKUP(calls[[#This Row],[Customer ID]],customers[Customer ID],customers[Age])</f>
        <v>38</v>
      </c>
      <c r="O930" t="str">
        <f>_xlfn.XLOOKUP(calls[[#This Row],[Customer ID]],customers[Customer ID],customers[Gender])</f>
        <v>Female</v>
      </c>
    </row>
    <row r="931" spans="2:15" x14ac:dyDescent="0.55000000000000004">
      <c r="B931" t="s">
        <v>953</v>
      </c>
      <c r="C931" t="s">
        <v>24</v>
      </c>
      <c r="D931">
        <v>31</v>
      </c>
      <c r="E931" s="16" t="s">
        <v>11</v>
      </c>
      <c r="F931" s="17">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t="str">
        <f>_xlfn.XLOOKUP(calls[[#This Row],[Customer ID]],customers[Customer ID],customers[City])</f>
        <v>Cleveland</v>
      </c>
      <c r="N931">
        <f>_xlfn.XLOOKUP(calls[[#This Row],[Customer ID]],customers[Customer ID],customers[Age])</f>
        <v>31</v>
      </c>
      <c r="O931" t="str">
        <f>_xlfn.XLOOKUP(calls[[#This Row],[Customer ID]],customers[Customer ID],customers[Gender])</f>
        <v>Male</v>
      </c>
    </row>
    <row r="932" spans="2:15" x14ac:dyDescent="0.55000000000000004">
      <c r="B932" t="s">
        <v>954</v>
      </c>
      <c r="C932" t="s">
        <v>16</v>
      </c>
      <c r="D932">
        <v>107</v>
      </c>
      <c r="E932" s="16" t="s">
        <v>6</v>
      </c>
      <c r="F932" s="17">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t="str">
        <f>_xlfn.XLOOKUP(calls[[#This Row],[Customer ID]],customers[Customer ID],customers[City])</f>
        <v>Cincinnati</v>
      </c>
      <c r="N932">
        <f>_xlfn.XLOOKUP(calls[[#This Row],[Customer ID]],customers[Customer ID],customers[Age])</f>
        <v>28</v>
      </c>
      <c r="O932" t="str">
        <f>_xlfn.XLOOKUP(calls[[#This Row],[Customer ID]],customers[Customer ID],customers[Gender])</f>
        <v>Female</v>
      </c>
    </row>
    <row r="933" spans="2:15" x14ac:dyDescent="0.55000000000000004">
      <c r="B933" t="s">
        <v>955</v>
      </c>
      <c r="C933" t="s">
        <v>23</v>
      </c>
      <c r="D933">
        <v>50</v>
      </c>
      <c r="E933" s="16" t="s">
        <v>11</v>
      </c>
      <c r="F933" s="17">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t="str">
        <f>_xlfn.XLOOKUP(calls[[#This Row],[Customer ID]],customers[Customer ID],customers[City])</f>
        <v>Columbus</v>
      </c>
      <c r="N933">
        <f>_xlfn.XLOOKUP(calls[[#This Row],[Customer ID]],customers[Customer ID],customers[Age])</f>
        <v>37</v>
      </c>
      <c r="O933" t="str">
        <f>_xlfn.XLOOKUP(calls[[#This Row],[Customer ID]],customers[Customer ID],customers[Gender])</f>
        <v>Male</v>
      </c>
    </row>
    <row r="934" spans="2:15" x14ac:dyDescent="0.55000000000000004">
      <c r="B934" t="s">
        <v>956</v>
      </c>
      <c r="C934" t="s">
        <v>17</v>
      </c>
      <c r="D934">
        <v>69</v>
      </c>
      <c r="E934" s="16" t="s">
        <v>6</v>
      </c>
      <c r="F934" s="17">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t="str">
        <f>_xlfn.XLOOKUP(calls[[#This Row],[Customer ID]],customers[Customer ID],customers[City])</f>
        <v>Columbus</v>
      </c>
      <c r="N934">
        <f>_xlfn.XLOOKUP(calls[[#This Row],[Customer ID]],customers[Customer ID],customers[Age])</f>
        <v>41</v>
      </c>
      <c r="O934" t="str">
        <f>_xlfn.XLOOKUP(calls[[#This Row],[Customer ID]],customers[Customer ID],customers[Gender])</f>
        <v>Male</v>
      </c>
    </row>
    <row r="935" spans="2:15" x14ac:dyDescent="0.55000000000000004">
      <c r="B935" t="s">
        <v>957</v>
      </c>
      <c r="C935" t="s">
        <v>8</v>
      </c>
      <c r="D935">
        <v>26</v>
      </c>
      <c r="E935" s="16" t="s">
        <v>9</v>
      </c>
      <c r="F935" s="17">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t="str">
        <f>_xlfn.XLOOKUP(calls[[#This Row],[Customer ID]],customers[Customer ID],customers[City])</f>
        <v>Cincinnati</v>
      </c>
      <c r="N935">
        <f>_xlfn.XLOOKUP(calls[[#This Row],[Customer ID]],customers[Customer ID],customers[Age])</f>
        <v>30</v>
      </c>
      <c r="O935" t="str">
        <f>_xlfn.XLOOKUP(calls[[#This Row],[Customer ID]],customers[Customer ID],customers[Gender])</f>
        <v>Female</v>
      </c>
    </row>
    <row r="936" spans="2:15" x14ac:dyDescent="0.55000000000000004">
      <c r="B936" t="s">
        <v>958</v>
      </c>
      <c r="C936" t="s">
        <v>21</v>
      </c>
      <c r="D936">
        <v>158</v>
      </c>
      <c r="E936" s="16" t="s">
        <v>6</v>
      </c>
      <c r="F936" s="17">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t="str">
        <f>_xlfn.XLOOKUP(calls[[#This Row],[Customer ID]],customers[Customer ID],customers[City])</f>
        <v>Columbus</v>
      </c>
      <c r="N936">
        <f>_xlfn.XLOOKUP(calls[[#This Row],[Customer ID]],customers[Customer ID],customers[Age])</f>
        <v>38</v>
      </c>
      <c r="O936" t="str">
        <f>_xlfn.XLOOKUP(calls[[#This Row],[Customer ID]],customers[Customer ID],customers[Gender])</f>
        <v>Female</v>
      </c>
    </row>
    <row r="937" spans="2:15" x14ac:dyDescent="0.55000000000000004">
      <c r="B937" t="s">
        <v>959</v>
      </c>
      <c r="C937" t="s">
        <v>15</v>
      </c>
      <c r="D937">
        <v>99</v>
      </c>
      <c r="E937" s="16" t="s">
        <v>6</v>
      </c>
      <c r="F937" s="17">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t="str">
        <f>_xlfn.XLOOKUP(calls[[#This Row],[Customer ID]],customers[Customer ID],customers[City])</f>
        <v>Cleveland</v>
      </c>
      <c r="N937">
        <f>_xlfn.XLOOKUP(calls[[#This Row],[Customer ID]],customers[Customer ID],customers[Age])</f>
        <v>22</v>
      </c>
      <c r="O937" t="str">
        <f>_xlfn.XLOOKUP(calls[[#This Row],[Customer ID]],customers[Customer ID],customers[Gender])</f>
        <v>Female</v>
      </c>
    </row>
    <row r="938" spans="2:15" x14ac:dyDescent="0.55000000000000004">
      <c r="B938" t="s">
        <v>960</v>
      </c>
      <c r="C938" t="s">
        <v>21</v>
      </c>
      <c r="D938">
        <v>78</v>
      </c>
      <c r="E938" s="16" t="s">
        <v>11</v>
      </c>
      <c r="F938" s="17">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t="str">
        <f>_xlfn.XLOOKUP(calls[[#This Row],[Customer ID]],customers[Customer ID],customers[City])</f>
        <v>Columbus</v>
      </c>
      <c r="N938">
        <f>_xlfn.XLOOKUP(calls[[#This Row],[Customer ID]],customers[Customer ID],customers[Age])</f>
        <v>38</v>
      </c>
      <c r="O938" t="str">
        <f>_xlfn.XLOOKUP(calls[[#This Row],[Customer ID]],customers[Customer ID],customers[Gender])</f>
        <v>Female</v>
      </c>
    </row>
    <row r="939" spans="2:15" x14ac:dyDescent="0.55000000000000004">
      <c r="B939" t="s">
        <v>961</v>
      </c>
      <c r="C939" t="s">
        <v>21</v>
      </c>
      <c r="D939">
        <v>102</v>
      </c>
      <c r="E939" s="16" t="s">
        <v>9</v>
      </c>
      <c r="F939" s="17">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t="str">
        <f>_xlfn.XLOOKUP(calls[[#This Row],[Customer ID]],customers[Customer ID],customers[City])</f>
        <v>Columbus</v>
      </c>
      <c r="N939">
        <f>_xlfn.XLOOKUP(calls[[#This Row],[Customer ID]],customers[Customer ID],customers[Age])</f>
        <v>38</v>
      </c>
      <c r="O939" t="str">
        <f>_xlfn.XLOOKUP(calls[[#This Row],[Customer ID]],customers[Customer ID],customers[Gender])</f>
        <v>Female</v>
      </c>
    </row>
    <row r="940" spans="2:15" x14ac:dyDescent="0.55000000000000004">
      <c r="B940" t="s">
        <v>962</v>
      </c>
      <c r="C940" t="s">
        <v>15</v>
      </c>
      <c r="D940">
        <v>158</v>
      </c>
      <c r="E940" s="16" t="s">
        <v>13</v>
      </c>
      <c r="F940" s="17">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t="str">
        <f>_xlfn.XLOOKUP(calls[[#This Row],[Customer ID]],customers[Customer ID],customers[City])</f>
        <v>Cleveland</v>
      </c>
      <c r="N940">
        <f>_xlfn.XLOOKUP(calls[[#This Row],[Customer ID]],customers[Customer ID],customers[Age])</f>
        <v>22</v>
      </c>
      <c r="O940" t="str">
        <f>_xlfn.XLOOKUP(calls[[#This Row],[Customer ID]],customers[Customer ID],customers[Gender])</f>
        <v>Female</v>
      </c>
    </row>
    <row r="941" spans="2:15" x14ac:dyDescent="0.55000000000000004">
      <c r="B941" t="s">
        <v>963</v>
      </c>
      <c r="C941" t="s">
        <v>24</v>
      </c>
      <c r="D941">
        <v>56</v>
      </c>
      <c r="E941" s="16" t="s">
        <v>6</v>
      </c>
      <c r="F941" s="17">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t="str">
        <f>_xlfn.XLOOKUP(calls[[#This Row],[Customer ID]],customers[Customer ID],customers[City])</f>
        <v>Cleveland</v>
      </c>
      <c r="N941">
        <f>_xlfn.XLOOKUP(calls[[#This Row],[Customer ID]],customers[Customer ID],customers[Age])</f>
        <v>31</v>
      </c>
      <c r="O941" t="str">
        <f>_xlfn.XLOOKUP(calls[[#This Row],[Customer ID]],customers[Customer ID],customers[Gender])</f>
        <v>Male</v>
      </c>
    </row>
    <row r="942" spans="2:15" x14ac:dyDescent="0.55000000000000004">
      <c r="B942" t="s">
        <v>964</v>
      </c>
      <c r="C942" t="s">
        <v>12</v>
      </c>
      <c r="D942">
        <v>17</v>
      </c>
      <c r="E942" s="16" t="s">
        <v>10</v>
      </c>
      <c r="F942" s="17">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t="str">
        <f>_xlfn.XLOOKUP(calls[[#This Row],[Customer ID]],customers[Customer ID],customers[City])</f>
        <v>Cincinnati</v>
      </c>
      <c r="N942">
        <f>_xlfn.XLOOKUP(calls[[#This Row],[Customer ID]],customers[Customer ID],customers[Age])</f>
        <v>36</v>
      </c>
      <c r="O942" t="str">
        <f>_xlfn.XLOOKUP(calls[[#This Row],[Customer ID]],customers[Customer ID],customers[Gender])</f>
        <v>Male</v>
      </c>
    </row>
    <row r="943" spans="2:15" x14ac:dyDescent="0.55000000000000004">
      <c r="B943" t="s">
        <v>965</v>
      </c>
      <c r="C943" t="s">
        <v>8</v>
      </c>
      <c r="D943">
        <v>104</v>
      </c>
      <c r="E943" s="16" t="s">
        <v>13</v>
      </c>
      <c r="F943" s="17">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t="str">
        <f>_xlfn.XLOOKUP(calls[[#This Row],[Customer ID]],customers[Customer ID],customers[City])</f>
        <v>Cincinnati</v>
      </c>
      <c r="N943">
        <f>_xlfn.XLOOKUP(calls[[#This Row],[Customer ID]],customers[Customer ID],customers[Age])</f>
        <v>30</v>
      </c>
      <c r="O943" t="str">
        <f>_xlfn.XLOOKUP(calls[[#This Row],[Customer ID]],customers[Customer ID],customers[Gender])</f>
        <v>Female</v>
      </c>
    </row>
    <row r="944" spans="2:15" x14ac:dyDescent="0.55000000000000004">
      <c r="B944" t="s">
        <v>966</v>
      </c>
      <c r="C944" t="s">
        <v>19</v>
      </c>
      <c r="D944">
        <v>96</v>
      </c>
      <c r="E944" s="16" t="s">
        <v>11</v>
      </c>
      <c r="F944" s="17">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t="str">
        <f>_xlfn.XLOOKUP(calls[[#This Row],[Customer ID]],customers[Customer ID],customers[City])</f>
        <v>Cleveland</v>
      </c>
      <c r="N944">
        <f>_xlfn.XLOOKUP(calls[[#This Row],[Customer ID]],customers[Customer ID],customers[Age])</f>
        <v>43</v>
      </c>
      <c r="O944" t="str">
        <f>_xlfn.XLOOKUP(calls[[#This Row],[Customer ID]],customers[Customer ID],customers[Gender])</f>
        <v>Female</v>
      </c>
    </row>
    <row r="945" spans="2:15" x14ac:dyDescent="0.55000000000000004">
      <c r="B945" t="s">
        <v>967</v>
      </c>
      <c r="C945" t="s">
        <v>22</v>
      </c>
      <c r="D945">
        <v>83</v>
      </c>
      <c r="E945" s="16" t="s">
        <v>9</v>
      </c>
      <c r="F945" s="17">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t="str">
        <f>_xlfn.XLOOKUP(calls[[#This Row],[Customer ID]],customers[Customer ID],customers[City])</f>
        <v>Columbus</v>
      </c>
      <c r="N945">
        <f>_xlfn.XLOOKUP(calls[[#This Row],[Customer ID]],customers[Customer ID],customers[Age])</f>
        <v>25</v>
      </c>
      <c r="O945" t="str">
        <f>_xlfn.XLOOKUP(calls[[#This Row],[Customer ID]],customers[Customer ID],customers[Gender])</f>
        <v>Female</v>
      </c>
    </row>
    <row r="946" spans="2:15" x14ac:dyDescent="0.55000000000000004">
      <c r="B946" t="s">
        <v>968</v>
      </c>
      <c r="C946" t="s">
        <v>23</v>
      </c>
      <c r="D946">
        <v>80</v>
      </c>
      <c r="E946" s="16" t="s">
        <v>10</v>
      </c>
      <c r="F946" s="17">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t="str">
        <f>_xlfn.XLOOKUP(calls[[#This Row],[Customer ID]],customers[Customer ID],customers[City])</f>
        <v>Columbus</v>
      </c>
      <c r="N946">
        <f>_xlfn.XLOOKUP(calls[[#This Row],[Customer ID]],customers[Customer ID],customers[Age])</f>
        <v>37</v>
      </c>
      <c r="O946" t="str">
        <f>_xlfn.XLOOKUP(calls[[#This Row],[Customer ID]],customers[Customer ID],customers[Gender])</f>
        <v>Male</v>
      </c>
    </row>
    <row r="947" spans="2:15" x14ac:dyDescent="0.55000000000000004">
      <c r="B947" t="s">
        <v>969</v>
      </c>
      <c r="C947" t="s">
        <v>22</v>
      </c>
      <c r="D947">
        <v>152</v>
      </c>
      <c r="E947" s="16" t="s">
        <v>9</v>
      </c>
      <c r="F947" s="17">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t="str">
        <f>_xlfn.XLOOKUP(calls[[#This Row],[Customer ID]],customers[Customer ID],customers[City])</f>
        <v>Columbus</v>
      </c>
      <c r="N947">
        <f>_xlfn.XLOOKUP(calls[[#This Row],[Customer ID]],customers[Customer ID],customers[Age])</f>
        <v>25</v>
      </c>
      <c r="O947" t="str">
        <f>_xlfn.XLOOKUP(calls[[#This Row],[Customer ID]],customers[Customer ID],customers[Gender])</f>
        <v>Female</v>
      </c>
    </row>
    <row r="948" spans="2:15" x14ac:dyDescent="0.55000000000000004">
      <c r="B948" t="s">
        <v>970</v>
      </c>
      <c r="C948" t="s">
        <v>18</v>
      </c>
      <c r="D948">
        <v>34</v>
      </c>
      <c r="E948" s="16" t="s">
        <v>11</v>
      </c>
      <c r="F948" s="17">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t="str">
        <f>_xlfn.XLOOKUP(calls[[#This Row],[Customer ID]],customers[Customer ID],customers[City])</f>
        <v>Cleveland</v>
      </c>
      <c r="N948">
        <f>_xlfn.XLOOKUP(calls[[#This Row],[Customer ID]],customers[Customer ID],customers[Age])</f>
        <v>30</v>
      </c>
      <c r="O948" t="str">
        <f>_xlfn.XLOOKUP(calls[[#This Row],[Customer ID]],customers[Customer ID],customers[Gender])</f>
        <v>Female</v>
      </c>
    </row>
    <row r="949" spans="2:15" x14ac:dyDescent="0.55000000000000004">
      <c r="B949" t="s">
        <v>971</v>
      </c>
      <c r="C949" t="s">
        <v>14</v>
      </c>
      <c r="D949">
        <v>2</v>
      </c>
      <c r="E949" s="16" t="s">
        <v>6</v>
      </c>
      <c r="F949" s="17">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t="str">
        <f>_xlfn.XLOOKUP(calls[[#This Row],[Customer ID]],customers[Customer ID],customers[City])</f>
        <v>Cleveland</v>
      </c>
      <c r="N949">
        <f>_xlfn.XLOOKUP(calls[[#This Row],[Customer ID]],customers[Customer ID],customers[Age])</f>
        <v>37</v>
      </c>
      <c r="O949" t="str">
        <f>_xlfn.XLOOKUP(calls[[#This Row],[Customer ID]],customers[Customer ID],customers[Gender])</f>
        <v>Female</v>
      </c>
    </row>
    <row r="950" spans="2:15" x14ac:dyDescent="0.55000000000000004">
      <c r="B950" t="s">
        <v>972</v>
      </c>
      <c r="C950" t="s">
        <v>23</v>
      </c>
      <c r="D950">
        <v>140</v>
      </c>
      <c r="E950" s="16" t="s">
        <v>11</v>
      </c>
      <c r="F950" s="17">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t="str">
        <f>_xlfn.XLOOKUP(calls[[#This Row],[Customer ID]],customers[Customer ID],customers[City])</f>
        <v>Columbus</v>
      </c>
      <c r="N950">
        <f>_xlfn.XLOOKUP(calls[[#This Row],[Customer ID]],customers[Customer ID],customers[Age])</f>
        <v>37</v>
      </c>
      <c r="O950" t="str">
        <f>_xlfn.XLOOKUP(calls[[#This Row],[Customer ID]],customers[Customer ID],customers[Gender])</f>
        <v>Male</v>
      </c>
    </row>
    <row r="951" spans="2:15" x14ac:dyDescent="0.55000000000000004">
      <c r="B951" t="s">
        <v>973</v>
      </c>
      <c r="C951" t="s">
        <v>12</v>
      </c>
      <c r="D951">
        <v>126</v>
      </c>
      <c r="E951" s="16" t="s">
        <v>13</v>
      </c>
      <c r="F951" s="17">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t="str">
        <f>_xlfn.XLOOKUP(calls[[#This Row],[Customer ID]],customers[Customer ID],customers[City])</f>
        <v>Cincinnati</v>
      </c>
      <c r="N951">
        <f>_xlfn.XLOOKUP(calls[[#This Row],[Customer ID]],customers[Customer ID],customers[Age])</f>
        <v>36</v>
      </c>
      <c r="O951" t="str">
        <f>_xlfn.XLOOKUP(calls[[#This Row],[Customer ID]],customers[Customer ID],customers[Gender])</f>
        <v>Male</v>
      </c>
    </row>
    <row r="952" spans="2:15" x14ac:dyDescent="0.55000000000000004">
      <c r="B952" t="s">
        <v>974</v>
      </c>
      <c r="C952" t="s">
        <v>21</v>
      </c>
      <c r="D952">
        <v>79</v>
      </c>
      <c r="E952" s="16" t="s">
        <v>6</v>
      </c>
      <c r="F952" s="17">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t="str">
        <f>_xlfn.XLOOKUP(calls[[#This Row],[Customer ID]],customers[Customer ID],customers[City])</f>
        <v>Columbus</v>
      </c>
      <c r="N952">
        <f>_xlfn.XLOOKUP(calls[[#This Row],[Customer ID]],customers[Customer ID],customers[Age])</f>
        <v>38</v>
      </c>
      <c r="O952" t="str">
        <f>_xlfn.XLOOKUP(calls[[#This Row],[Customer ID]],customers[Customer ID],customers[Gender])</f>
        <v>Female</v>
      </c>
    </row>
    <row r="953" spans="2:15" x14ac:dyDescent="0.55000000000000004">
      <c r="B953" t="s">
        <v>975</v>
      </c>
      <c r="C953" t="s">
        <v>12</v>
      </c>
      <c r="D953">
        <v>133</v>
      </c>
      <c r="E953" s="16" t="s">
        <v>13</v>
      </c>
      <c r="F953" s="17">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t="str">
        <f>_xlfn.XLOOKUP(calls[[#This Row],[Customer ID]],customers[Customer ID],customers[City])</f>
        <v>Cincinnati</v>
      </c>
      <c r="N953">
        <f>_xlfn.XLOOKUP(calls[[#This Row],[Customer ID]],customers[Customer ID],customers[Age])</f>
        <v>36</v>
      </c>
      <c r="O953" t="str">
        <f>_xlfn.XLOOKUP(calls[[#This Row],[Customer ID]],customers[Customer ID],customers[Gender])</f>
        <v>Male</v>
      </c>
    </row>
    <row r="954" spans="2:15" x14ac:dyDescent="0.55000000000000004">
      <c r="B954" t="s">
        <v>976</v>
      </c>
      <c r="C954" t="s">
        <v>18</v>
      </c>
      <c r="D954">
        <v>97</v>
      </c>
      <c r="E954" s="16" t="s">
        <v>10</v>
      </c>
      <c r="F954" s="17">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t="str">
        <f>_xlfn.XLOOKUP(calls[[#This Row],[Customer ID]],customers[Customer ID],customers[City])</f>
        <v>Cleveland</v>
      </c>
      <c r="N954">
        <f>_xlfn.XLOOKUP(calls[[#This Row],[Customer ID]],customers[Customer ID],customers[Age])</f>
        <v>30</v>
      </c>
      <c r="O954" t="str">
        <f>_xlfn.XLOOKUP(calls[[#This Row],[Customer ID]],customers[Customer ID],customers[Gender])</f>
        <v>Female</v>
      </c>
    </row>
    <row r="955" spans="2:15" x14ac:dyDescent="0.55000000000000004">
      <c r="B955" t="s">
        <v>977</v>
      </c>
      <c r="C955" t="s">
        <v>21</v>
      </c>
      <c r="D955">
        <v>102</v>
      </c>
      <c r="E955" s="16" t="s">
        <v>9</v>
      </c>
      <c r="F955" s="17">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t="str">
        <f>_xlfn.XLOOKUP(calls[[#This Row],[Customer ID]],customers[Customer ID],customers[City])</f>
        <v>Columbus</v>
      </c>
      <c r="N955">
        <f>_xlfn.XLOOKUP(calls[[#This Row],[Customer ID]],customers[Customer ID],customers[Age])</f>
        <v>38</v>
      </c>
      <c r="O955" t="str">
        <f>_xlfn.XLOOKUP(calls[[#This Row],[Customer ID]],customers[Customer ID],customers[Gender])</f>
        <v>Female</v>
      </c>
    </row>
    <row r="956" spans="2:15" x14ac:dyDescent="0.55000000000000004">
      <c r="B956" t="s">
        <v>978</v>
      </c>
      <c r="C956" t="s">
        <v>7</v>
      </c>
      <c r="D956">
        <v>62</v>
      </c>
      <c r="E956" s="16" t="s">
        <v>10</v>
      </c>
      <c r="F956" s="17">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t="str">
        <f>_xlfn.XLOOKUP(calls[[#This Row],[Customer ID]],customers[Customer ID],customers[City])</f>
        <v>Columbus</v>
      </c>
      <c r="N956">
        <f>_xlfn.XLOOKUP(calls[[#This Row],[Customer ID]],customers[Customer ID],customers[Age])</f>
        <v>23</v>
      </c>
      <c r="O956" t="str">
        <f>_xlfn.XLOOKUP(calls[[#This Row],[Customer ID]],customers[Customer ID],customers[Gender])</f>
        <v>Male</v>
      </c>
    </row>
    <row r="957" spans="2:15" x14ac:dyDescent="0.55000000000000004">
      <c r="B957" t="s">
        <v>979</v>
      </c>
      <c r="C957" t="s">
        <v>12</v>
      </c>
      <c r="D957">
        <v>149</v>
      </c>
      <c r="E957" s="16" t="s">
        <v>9</v>
      </c>
      <c r="F957" s="17">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t="str">
        <f>_xlfn.XLOOKUP(calls[[#This Row],[Customer ID]],customers[Customer ID],customers[City])</f>
        <v>Cincinnati</v>
      </c>
      <c r="N957">
        <f>_xlfn.XLOOKUP(calls[[#This Row],[Customer ID]],customers[Customer ID],customers[Age])</f>
        <v>36</v>
      </c>
      <c r="O957" t="str">
        <f>_xlfn.XLOOKUP(calls[[#This Row],[Customer ID]],customers[Customer ID],customers[Gender])</f>
        <v>Male</v>
      </c>
    </row>
    <row r="958" spans="2:15" x14ac:dyDescent="0.55000000000000004">
      <c r="B958" t="s">
        <v>980</v>
      </c>
      <c r="C958" t="s">
        <v>14</v>
      </c>
      <c r="D958">
        <v>133</v>
      </c>
      <c r="E958" s="16" t="s">
        <v>10</v>
      </c>
      <c r="F958" s="17">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t="str">
        <f>_xlfn.XLOOKUP(calls[[#This Row],[Customer ID]],customers[Customer ID],customers[City])</f>
        <v>Cleveland</v>
      </c>
      <c r="N958">
        <f>_xlfn.XLOOKUP(calls[[#This Row],[Customer ID]],customers[Customer ID],customers[Age])</f>
        <v>37</v>
      </c>
      <c r="O958" t="str">
        <f>_xlfn.XLOOKUP(calls[[#This Row],[Customer ID]],customers[Customer ID],customers[Gender])</f>
        <v>Female</v>
      </c>
    </row>
    <row r="959" spans="2:15" x14ac:dyDescent="0.55000000000000004">
      <c r="B959" t="s">
        <v>981</v>
      </c>
      <c r="C959" t="s">
        <v>21</v>
      </c>
      <c r="D959">
        <v>51</v>
      </c>
      <c r="E959" s="16" t="s">
        <v>6</v>
      </c>
      <c r="F959" s="17">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t="str">
        <f>_xlfn.XLOOKUP(calls[[#This Row],[Customer ID]],customers[Customer ID],customers[City])</f>
        <v>Columbus</v>
      </c>
      <c r="N959">
        <f>_xlfn.XLOOKUP(calls[[#This Row],[Customer ID]],customers[Customer ID],customers[Age])</f>
        <v>38</v>
      </c>
      <c r="O959" t="str">
        <f>_xlfn.XLOOKUP(calls[[#This Row],[Customer ID]],customers[Customer ID],customers[Gender])</f>
        <v>Female</v>
      </c>
    </row>
    <row r="960" spans="2:15" x14ac:dyDescent="0.55000000000000004">
      <c r="B960" t="s">
        <v>982</v>
      </c>
      <c r="C960" t="s">
        <v>7</v>
      </c>
      <c r="D960">
        <v>110</v>
      </c>
      <c r="E960" s="16" t="s">
        <v>10</v>
      </c>
      <c r="F960" s="17">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t="str">
        <f>_xlfn.XLOOKUP(calls[[#This Row],[Customer ID]],customers[Customer ID],customers[City])</f>
        <v>Columbus</v>
      </c>
      <c r="N960">
        <f>_xlfn.XLOOKUP(calls[[#This Row],[Customer ID]],customers[Customer ID],customers[Age])</f>
        <v>23</v>
      </c>
      <c r="O960" t="str">
        <f>_xlfn.XLOOKUP(calls[[#This Row],[Customer ID]],customers[Customer ID],customers[Gender])</f>
        <v>Male</v>
      </c>
    </row>
    <row r="961" spans="2:15" x14ac:dyDescent="0.55000000000000004">
      <c r="B961" t="s">
        <v>983</v>
      </c>
      <c r="C961" t="s">
        <v>18</v>
      </c>
      <c r="D961">
        <v>38</v>
      </c>
      <c r="E961" s="16" t="s">
        <v>13</v>
      </c>
      <c r="F961" s="17">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t="str">
        <f>_xlfn.XLOOKUP(calls[[#This Row],[Customer ID]],customers[Customer ID],customers[City])</f>
        <v>Cleveland</v>
      </c>
      <c r="N961">
        <f>_xlfn.XLOOKUP(calls[[#This Row],[Customer ID]],customers[Customer ID],customers[Age])</f>
        <v>30</v>
      </c>
      <c r="O961" t="str">
        <f>_xlfn.XLOOKUP(calls[[#This Row],[Customer ID]],customers[Customer ID],customers[Gender])</f>
        <v>Female</v>
      </c>
    </row>
    <row r="962" spans="2:15" x14ac:dyDescent="0.55000000000000004">
      <c r="B962" t="s">
        <v>984</v>
      </c>
      <c r="C962" t="s">
        <v>14</v>
      </c>
      <c r="D962">
        <v>78</v>
      </c>
      <c r="E962" s="16" t="s">
        <v>13</v>
      </c>
      <c r="F962" s="17">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t="str">
        <f>_xlfn.XLOOKUP(calls[[#This Row],[Customer ID]],customers[Customer ID],customers[City])</f>
        <v>Cleveland</v>
      </c>
      <c r="N962">
        <f>_xlfn.XLOOKUP(calls[[#This Row],[Customer ID]],customers[Customer ID],customers[Age])</f>
        <v>37</v>
      </c>
      <c r="O962" t="str">
        <f>_xlfn.XLOOKUP(calls[[#This Row],[Customer ID]],customers[Customer ID],customers[Gender])</f>
        <v>Female</v>
      </c>
    </row>
    <row r="963" spans="2:15" x14ac:dyDescent="0.55000000000000004">
      <c r="B963" t="s">
        <v>985</v>
      </c>
      <c r="C963" t="s">
        <v>18</v>
      </c>
      <c r="D963">
        <v>25</v>
      </c>
      <c r="E963" s="16" t="s">
        <v>9</v>
      </c>
      <c r="F963" s="17">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t="str">
        <f>_xlfn.XLOOKUP(calls[[#This Row],[Customer ID]],customers[Customer ID],customers[City])</f>
        <v>Cleveland</v>
      </c>
      <c r="N963">
        <f>_xlfn.XLOOKUP(calls[[#This Row],[Customer ID]],customers[Customer ID],customers[Age])</f>
        <v>30</v>
      </c>
      <c r="O963" t="str">
        <f>_xlfn.XLOOKUP(calls[[#This Row],[Customer ID]],customers[Customer ID],customers[Gender])</f>
        <v>Female</v>
      </c>
    </row>
    <row r="964" spans="2:15" x14ac:dyDescent="0.55000000000000004">
      <c r="B964" t="s">
        <v>986</v>
      </c>
      <c r="C964" t="s">
        <v>16</v>
      </c>
      <c r="D964">
        <v>50</v>
      </c>
      <c r="E964" s="16" t="s">
        <v>6</v>
      </c>
      <c r="F964" s="17">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t="str">
        <f>_xlfn.XLOOKUP(calls[[#This Row],[Customer ID]],customers[Customer ID],customers[City])</f>
        <v>Cincinnati</v>
      </c>
      <c r="N964">
        <f>_xlfn.XLOOKUP(calls[[#This Row],[Customer ID]],customers[Customer ID],customers[Age])</f>
        <v>28</v>
      </c>
      <c r="O964" t="str">
        <f>_xlfn.XLOOKUP(calls[[#This Row],[Customer ID]],customers[Customer ID],customers[Gender])</f>
        <v>Female</v>
      </c>
    </row>
    <row r="965" spans="2:15" x14ac:dyDescent="0.55000000000000004">
      <c r="B965" t="s">
        <v>987</v>
      </c>
      <c r="C965" t="s">
        <v>18</v>
      </c>
      <c r="D965">
        <v>103</v>
      </c>
      <c r="E965" s="16" t="s">
        <v>9</v>
      </c>
      <c r="F965" s="17">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t="str">
        <f>_xlfn.XLOOKUP(calls[[#This Row],[Customer ID]],customers[Customer ID],customers[City])</f>
        <v>Cleveland</v>
      </c>
      <c r="N965">
        <f>_xlfn.XLOOKUP(calls[[#This Row],[Customer ID]],customers[Customer ID],customers[Age])</f>
        <v>30</v>
      </c>
      <c r="O965" t="str">
        <f>_xlfn.XLOOKUP(calls[[#This Row],[Customer ID]],customers[Customer ID],customers[Gender])</f>
        <v>Female</v>
      </c>
    </row>
    <row r="966" spans="2:15" x14ac:dyDescent="0.55000000000000004">
      <c r="B966" t="s">
        <v>988</v>
      </c>
      <c r="C966" t="s">
        <v>22</v>
      </c>
      <c r="D966">
        <v>63</v>
      </c>
      <c r="E966" s="16" t="s">
        <v>11</v>
      </c>
      <c r="F966" s="17">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t="str">
        <f>_xlfn.XLOOKUP(calls[[#This Row],[Customer ID]],customers[Customer ID],customers[City])</f>
        <v>Columbus</v>
      </c>
      <c r="N966">
        <f>_xlfn.XLOOKUP(calls[[#This Row],[Customer ID]],customers[Customer ID],customers[Age])</f>
        <v>25</v>
      </c>
      <c r="O966" t="str">
        <f>_xlfn.XLOOKUP(calls[[#This Row],[Customer ID]],customers[Customer ID],customers[Gender])</f>
        <v>Female</v>
      </c>
    </row>
    <row r="967" spans="2:15" x14ac:dyDescent="0.55000000000000004">
      <c r="B967" t="s">
        <v>989</v>
      </c>
      <c r="C967" t="s">
        <v>16</v>
      </c>
      <c r="D967">
        <v>96</v>
      </c>
      <c r="E967" s="16" t="s">
        <v>6</v>
      </c>
      <c r="F967" s="17">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t="str">
        <f>_xlfn.XLOOKUP(calls[[#This Row],[Customer ID]],customers[Customer ID],customers[City])</f>
        <v>Cincinnati</v>
      </c>
      <c r="N967">
        <f>_xlfn.XLOOKUP(calls[[#This Row],[Customer ID]],customers[Customer ID],customers[Age])</f>
        <v>28</v>
      </c>
      <c r="O967" t="str">
        <f>_xlfn.XLOOKUP(calls[[#This Row],[Customer ID]],customers[Customer ID],customers[Gender])</f>
        <v>Female</v>
      </c>
    </row>
    <row r="968" spans="2:15" x14ac:dyDescent="0.55000000000000004">
      <c r="B968" t="s">
        <v>990</v>
      </c>
      <c r="C968" t="s">
        <v>23</v>
      </c>
      <c r="D968">
        <v>94</v>
      </c>
      <c r="E968" s="16" t="s">
        <v>9</v>
      </c>
      <c r="F968" s="17">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t="str">
        <f>_xlfn.XLOOKUP(calls[[#This Row],[Customer ID]],customers[Customer ID],customers[City])</f>
        <v>Columbus</v>
      </c>
      <c r="N968">
        <f>_xlfn.XLOOKUP(calls[[#This Row],[Customer ID]],customers[Customer ID],customers[Age])</f>
        <v>37</v>
      </c>
      <c r="O968" t="str">
        <f>_xlfn.XLOOKUP(calls[[#This Row],[Customer ID]],customers[Customer ID],customers[Gender])</f>
        <v>Male</v>
      </c>
    </row>
    <row r="969" spans="2:15" x14ac:dyDescent="0.55000000000000004">
      <c r="B969" t="s">
        <v>991</v>
      </c>
      <c r="C969" t="s">
        <v>7</v>
      </c>
      <c r="D969">
        <v>46</v>
      </c>
      <c r="E969" s="16" t="s">
        <v>13</v>
      </c>
      <c r="F969" s="17">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t="str">
        <f>_xlfn.XLOOKUP(calls[[#This Row],[Customer ID]],customers[Customer ID],customers[City])</f>
        <v>Columbus</v>
      </c>
      <c r="N969">
        <f>_xlfn.XLOOKUP(calls[[#This Row],[Customer ID]],customers[Customer ID],customers[Age])</f>
        <v>23</v>
      </c>
      <c r="O969" t="str">
        <f>_xlfn.XLOOKUP(calls[[#This Row],[Customer ID]],customers[Customer ID],customers[Gender])</f>
        <v>Male</v>
      </c>
    </row>
    <row r="970" spans="2:15" x14ac:dyDescent="0.55000000000000004">
      <c r="B970" t="s">
        <v>992</v>
      </c>
      <c r="C970" t="s">
        <v>5</v>
      </c>
      <c r="D970">
        <v>127</v>
      </c>
      <c r="E970" s="16" t="s">
        <v>6</v>
      </c>
      <c r="F970" s="17">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t="str">
        <f>_xlfn.XLOOKUP(calls[[#This Row],[Customer ID]],customers[Customer ID],customers[City])</f>
        <v>Cleveland</v>
      </c>
      <c r="N970">
        <f>_xlfn.XLOOKUP(calls[[#This Row],[Customer ID]],customers[Customer ID],customers[Age])</f>
        <v>42</v>
      </c>
      <c r="O970" t="str">
        <f>_xlfn.XLOOKUP(calls[[#This Row],[Customer ID]],customers[Customer ID],customers[Gender])</f>
        <v>Female</v>
      </c>
    </row>
    <row r="971" spans="2:15" x14ac:dyDescent="0.55000000000000004">
      <c r="B971" t="s">
        <v>993</v>
      </c>
      <c r="C971" t="s">
        <v>15</v>
      </c>
      <c r="D971">
        <v>96</v>
      </c>
      <c r="E971" s="16" t="s">
        <v>13</v>
      </c>
      <c r="F971" s="17">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t="str">
        <f>_xlfn.XLOOKUP(calls[[#This Row],[Customer ID]],customers[Customer ID],customers[City])</f>
        <v>Cleveland</v>
      </c>
      <c r="N971">
        <f>_xlfn.XLOOKUP(calls[[#This Row],[Customer ID]],customers[Customer ID],customers[Age])</f>
        <v>22</v>
      </c>
      <c r="O971" t="str">
        <f>_xlfn.XLOOKUP(calls[[#This Row],[Customer ID]],customers[Customer ID],customers[Gender])</f>
        <v>Female</v>
      </c>
    </row>
    <row r="972" spans="2:15" x14ac:dyDescent="0.55000000000000004">
      <c r="B972" t="s">
        <v>1004</v>
      </c>
      <c r="C972" t="s">
        <v>17</v>
      </c>
      <c r="D972">
        <v>151</v>
      </c>
      <c r="E972" s="16" t="s">
        <v>9</v>
      </c>
      <c r="F972" s="17">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t="str">
        <f>_xlfn.XLOOKUP(calls[[#This Row],[Customer ID]],customers[Customer ID],customers[City])</f>
        <v>Columbus</v>
      </c>
      <c r="N972">
        <f>_xlfn.XLOOKUP(calls[[#This Row],[Customer ID]],customers[Customer ID],customers[Age])</f>
        <v>41</v>
      </c>
      <c r="O972" t="str">
        <f>_xlfn.XLOOKUP(calls[[#This Row],[Customer ID]],customers[Customer ID],customers[Gender])</f>
        <v>Male</v>
      </c>
    </row>
    <row r="973" spans="2:15" x14ac:dyDescent="0.55000000000000004">
      <c r="B973" t="s">
        <v>1005</v>
      </c>
      <c r="C973" t="s">
        <v>5</v>
      </c>
      <c r="D973">
        <v>158</v>
      </c>
      <c r="E973" s="16" t="s">
        <v>10</v>
      </c>
      <c r="F973" s="17">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t="str">
        <f>_xlfn.XLOOKUP(calls[[#This Row],[Customer ID]],customers[Customer ID],customers[City])</f>
        <v>Cleveland</v>
      </c>
      <c r="N973">
        <f>_xlfn.XLOOKUP(calls[[#This Row],[Customer ID]],customers[Customer ID],customers[Age])</f>
        <v>42</v>
      </c>
      <c r="O973" t="str">
        <f>_xlfn.XLOOKUP(calls[[#This Row],[Customer ID]],customers[Customer ID],customers[Gender])</f>
        <v>Female</v>
      </c>
    </row>
    <row r="974" spans="2:15" x14ac:dyDescent="0.55000000000000004">
      <c r="B974" t="s">
        <v>1006</v>
      </c>
      <c r="C974" t="s">
        <v>23</v>
      </c>
      <c r="D974">
        <v>45</v>
      </c>
      <c r="E974" s="16" t="s">
        <v>10</v>
      </c>
      <c r="F974" s="17">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t="str">
        <f>_xlfn.XLOOKUP(calls[[#This Row],[Customer ID]],customers[Customer ID],customers[City])</f>
        <v>Columbus</v>
      </c>
      <c r="N974">
        <f>_xlfn.XLOOKUP(calls[[#This Row],[Customer ID]],customers[Customer ID],customers[Age])</f>
        <v>37</v>
      </c>
      <c r="O974" t="str">
        <f>_xlfn.XLOOKUP(calls[[#This Row],[Customer ID]],customers[Customer ID],customers[Gender])</f>
        <v>Male</v>
      </c>
    </row>
    <row r="975" spans="2:15" x14ac:dyDescent="0.55000000000000004">
      <c r="B975" t="s">
        <v>1007</v>
      </c>
      <c r="C975" t="s">
        <v>24</v>
      </c>
      <c r="D975">
        <v>141</v>
      </c>
      <c r="E975" s="16" t="s">
        <v>10</v>
      </c>
      <c r="F975" s="17">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t="str">
        <f>_xlfn.XLOOKUP(calls[[#This Row],[Customer ID]],customers[Customer ID],customers[City])</f>
        <v>Cleveland</v>
      </c>
      <c r="N975">
        <f>_xlfn.XLOOKUP(calls[[#This Row],[Customer ID]],customers[Customer ID],customers[Age])</f>
        <v>31</v>
      </c>
      <c r="O975" t="str">
        <f>_xlfn.XLOOKUP(calls[[#This Row],[Customer ID]],customers[Customer ID],customers[Gender])</f>
        <v>Male</v>
      </c>
    </row>
    <row r="976" spans="2:15" x14ac:dyDescent="0.55000000000000004">
      <c r="B976" t="s">
        <v>1008</v>
      </c>
      <c r="C976" t="s">
        <v>18</v>
      </c>
      <c r="D976">
        <v>147</v>
      </c>
      <c r="E976" s="16" t="s">
        <v>13</v>
      </c>
      <c r="F976" s="17">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t="str">
        <f>_xlfn.XLOOKUP(calls[[#This Row],[Customer ID]],customers[Customer ID],customers[City])</f>
        <v>Cleveland</v>
      </c>
      <c r="N976">
        <f>_xlfn.XLOOKUP(calls[[#This Row],[Customer ID]],customers[Customer ID],customers[Age])</f>
        <v>30</v>
      </c>
      <c r="O976" t="str">
        <f>_xlfn.XLOOKUP(calls[[#This Row],[Customer ID]],customers[Customer ID],customers[Gender])</f>
        <v>Female</v>
      </c>
    </row>
    <row r="977" spans="2:15" x14ac:dyDescent="0.55000000000000004">
      <c r="B977" t="s">
        <v>1009</v>
      </c>
      <c r="C977" t="s">
        <v>19</v>
      </c>
      <c r="D977">
        <v>126</v>
      </c>
      <c r="E977" s="16" t="s">
        <v>13</v>
      </c>
      <c r="F977" s="17">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t="str">
        <f>_xlfn.XLOOKUP(calls[[#This Row],[Customer ID]],customers[Customer ID],customers[City])</f>
        <v>Cleveland</v>
      </c>
      <c r="N977">
        <f>_xlfn.XLOOKUP(calls[[#This Row],[Customer ID]],customers[Customer ID],customers[Age])</f>
        <v>43</v>
      </c>
      <c r="O977" t="str">
        <f>_xlfn.XLOOKUP(calls[[#This Row],[Customer ID]],customers[Customer ID],customers[Gender])</f>
        <v>Female</v>
      </c>
    </row>
    <row r="978" spans="2:15" x14ac:dyDescent="0.55000000000000004">
      <c r="B978" t="s">
        <v>1010</v>
      </c>
      <c r="C978" t="s">
        <v>23</v>
      </c>
      <c r="D978">
        <v>126</v>
      </c>
      <c r="E978" s="16" t="s">
        <v>11</v>
      </c>
      <c r="F978" s="17">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t="str">
        <f>_xlfn.XLOOKUP(calls[[#This Row],[Customer ID]],customers[Customer ID],customers[City])</f>
        <v>Columbus</v>
      </c>
      <c r="N978">
        <f>_xlfn.XLOOKUP(calls[[#This Row],[Customer ID]],customers[Customer ID],customers[Age])</f>
        <v>37</v>
      </c>
      <c r="O978" t="str">
        <f>_xlfn.XLOOKUP(calls[[#This Row],[Customer ID]],customers[Customer ID],customers[Gender])</f>
        <v>Male</v>
      </c>
    </row>
    <row r="979" spans="2:15" x14ac:dyDescent="0.55000000000000004">
      <c r="B979" t="s">
        <v>1011</v>
      </c>
      <c r="C979" t="s">
        <v>14</v>
      </c>
      <c r="D979">
        <v>32</v>
      </c>
      <c r="E979" s="16" t="s">
        <v>13</v>
      </c>
      <c r="F979" s="17">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t="str">
        <f>_xlfn.XLOOKUP(calls[[#This Row],[Customer ID]],customers[Customer ID],customers[City])</f>
        <v>Cleveland</v>
      </c>
      <c r="N979">
        <f>_xlfn.XLOOKUP(calls[[#This Row],[Customer ID]],customers[Customer ID],customers[Age])</f>
        <v>37</v>
      </c>
      <c r="O979" t="str">
        <f>_xlfn.XLOOKUP(calls[[#This Row],[Customer ID]],customers[Customer ID],customers[Gender])</f>
        <v>Female</v>
      </c>
    </row>
    <row r="980" spans="2:15" x14ac:dyDescent="0.55000000000000004">
      <c r="B980" t="s">
        <v>1012</v>
      </c>
      <c r="C980" t="s">
        <v>23</v>
      </c>
      <c r="D980">
        <v>84</v>
      </c>
      <c r="E980" s="16" t="s">
        <v>6</v>
      </c>
      <c r="F980" s="17">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t="str">
        <f>_xlfn.XLOOKUP(calls[[#This Row],[Customer ID]],customers[Customer ID],customers[City])</f>
        <v>Columbus</v>
      </c>
      <c r="N980">
        <f>_xlfn.XLOOKUP(calls[[#This Row],[Customer ID]],customers[Customer ID],customers[Age])</f>
        <v>37</v>
      </c>
      <c r="O980" t="str">
        <f>_xlfn.XLOOKUP(calls[[#This Row],[Customer ID]],customers[Customer ID],customers[Gender])</f>
        <v>Male</v>
      </c>
    </row>
    <row r="981" spans="2:15" x14ac:dyDescent="0.55000000000000004">
      <c r="B981" t="s">
        <v>1013</v>
      </c>
      <c r="C981" t="s">
        <v>22</v>
      </c>
      <c r="D981">
        <v>120</v>
      </c>
      <c r="E981" s="16" t="s">
        <v>11</v>
      </c>
      <c r="F981" s="17">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t="str">
        <f>_xlfn.XLOOKUP(calls[[#This Row],[Customer ID]],customers[Customer ID],customers[City])</f>
        <v>Columbus</v>
      </c>
      <c r="N981">
        <f>_xlfn.XLOOKUP(calls[[#This Row],[Customer ID]],customers[Customer ID],customers[Age])</f>
        <v>25</v>
      </c>
      <c r="O981" t="str">
        <f>_xlfn.XLOOKUP(calls[[#This Row],[Customer ID]],customers[Customer ID],customers[Gender])</f>
        <v>Female</v>
      </c>
    </row>
    <row r="982" spans="2:15" x14ac:dyDescent="0.55000000000000004">
      <c r="B982" t="s">
        <v>1014</v>
      </c>
      <c r="C982" t="s">
        <v>8</v>
      </c>
      <c r="D982">
        <v>93</v>
      </c>
      <c r="E982" s="16" t="s">
        <v>13</v>
      </c>
      <c r="F982" s="17">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t="str">
        <f>_xlfn.XLOOKUP(calls[[#This Row],[Customer ID]],customers[Customer ID],customers[City])</f>
        <v>Cincinnati</v>
      </c>
      <c r="N982">
        <f>_xlfn.XLOOKUP(calls[[#This Row],[Customer ID]],customers[Customer ID],customers[Age])</f>
        <v>30</v>
      </c>
      <c r="O982" t="str">
        <f>_xlfn.XLOOKUP(calls[[#This Row],[Customer ID]],customers[Customer ID],customers[Gender])</f>
        <v>Female</v>
      </c>
    </row>
    <row r="983" spans="2:15" x14ac:dyDescent="0.55000000000000004">
      <c r="B983" t="s">
        <v>1015</v>
      </c>
      <c r="C983" t="s">
        <v>15</v>
      </c>
      <c r="D983">
        <v>76</v>
      </c>
      <c r="E983" s="16" t="s">
        <v>9</v>
      </c>
      <c r="F983" s="17">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t="str">
        <f>_xlfn.XLOOKUP(calls[[#This Row],[Customer ID]],customers[Customer ID],customers[City])</f>
        <v>Cleveland</v>
      </c>
      <c r="N983">
        <f>_xlfn.XLOOKUP(calls[[#This Row],[Customer ID]],customers[Customer ID],customers[Age])</f>
        <v>22</v>
      </c>
      <c r="O983" t="str">
        <f>_xlfn.XLOOKUP(calls[[#This Row],[Customer ID]],customers[Customer ID],customers[Gender])</f>
        <v>Female</v>
      </c>
    </row>
    <row r="984" spans="2:15" x14ac:dyDescent="0.55000000000000004">
      <c r="B984" t="s">
        <v>1016</v>
      </c>
      <c r="C984" t="s">
        <v>5</v>
      </c>
      <c r="D984">
        <v>89</v>
      </c>
      <c r="E984" s="16" t="s">
        <v>13</v>
      </c>
      <c r="F984" s="17">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t="str">
        <f>_xlfn.XLOOKUP(calls[[#This Row],[Customer ID]],customers[Customer ID],customers[City])</f>
        <v>Cleveland</v>
      </c>
      <c r="N984">
        <f>_xlfn.XLOOKUP(calls[[#This Row],[Customer ID]],customers[Customer ID],customers[Age])</f>
        <v>42</v>
      </c>
      <c r="O984" t="str">
        <f>_xlfn.XLOOKUP(calls[[#This Row],[Customer ID]],customers[Customer ID],customers[Gender])</f>
        <v>Female</v>
      </c>
    </row>
    <row r="985" spans="2:15" x14ac:dyDescent="0.55000000000000004">
      <c r="B985" t="s">
        <v>1017</v>
      </c>
      <c r="C985" t="s">
        <v>21</v>
      </c>
      <c r="D985">
        <v>91</v>
      </c>
      <c r="E985" s="16" t="s">
        <v>6</v>
      </c>
      <c r="F985" s="17">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t="str">
        <f>_xlfn.XLOOKUP(calls[[#This Row],[Customer ID]],customers[Customer ID],customers[City])</f>
        <v>Columbus</v>
      </c>
      <c r="N985">
        <f>_xlfn.XLOOKUP(calls[[#This Row],[Customer ID]],customers[Customer ID],customers[Age])</f>
        <v>38</v>
      </c>
      <c r="O985" t="str">
        <f>_xlfn.XLOOKUP(calls[[#This Row],[Customer ID]],customers[Customer ID],customers[Gender])</f>
        <v>Female</v>
      </c>
    </row>
    <row r="986" spans="2:15" x14ac:dyDescent="0.55000000000000004">
      <c r="B986" t="s">
        <v>1018</v>
      </c>
      <c r="C986" t="s">
        <v>7</v>
      </c>
      <c r="D986">
        <v>7</v>
      </c>
      <c r="E986" s="16" t="s">
        <v>10</v>
      </c>
      <c r="F986" s="17">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t="str">
        <f>_xlfn.XLOOKUP(calls[[#This Row],[Customer ID]],customers[Customer ID],customers[City])</f>
        <v>Columbus</v>
      </c>
      <c r="N986">
        <f>_xlfn.XLOOKUP(calls[[#This Row],[Customer ID]],customers[Customer ID],customers[Age])</f>
        <v>23</v>
      </c>
      <c r="O986" t="str">
        <f>_xlfn.XLOOKUP(calls[[#This Row],[Customer ID]],customers[Customer ID],customers[Gender])</f>
        <v>Male</v>
      </c>
    </row>
    <row r="987" spans="2:15" x14ac:dyDescent="0.55000000000000004">
      <c r="B987" t="s">
        <v>1019</v>
      </c>
      <c r="C987" t="s">
        <v>14</v>
      </c>
      <c r="D987">
        <v>140</v>
      </c>
      <c r="E987" s="16" t="s">
        <v>10</v>
      </c>
      <c r="F987" s="17">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t="str">
        <f>_xlfn.XLOOKUP(calls[[#This Row],[Customer ID]],customers[Customer ID],customers[City])</f>
        <v>Cleveland</v>
      </c>
      <c r="N987">
        <f>_xlfn.XLOOKUP(calls[[#This Row],[Customer ID]],customers[Customer ID],customers[Age])</f>
        <v>37</v>
      </c>
      <c r="O987" t="str">
        <f>_xlfn.XLOOKUP(calls[[#This Row],[Customer ID]],customers[Customer ID],customers[Gender])</f>
        <v>Female</v>
      </c>
    </row>
    <row r="988" spans="2:15" x14ac:dyDescent="0.55000000000000004">
      <c r="B988" t="s">
        <v>1020</v>
      </c>
      <c r="C988" t="s">
        <v>12</v>
      </c>
      <c r="D988">
        <v>58</v>
      </c>
      <c r="E988" s="16" t="s">
        <v>11</v>
      </c>
      <c r="F988" s="17">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t="str">
        <f>_xlfn.XLOOKUP(calls[[#This Row],[Customer ID]],customers[Customer ID],customers[City])</f>
        <v>Cincinnati</v>
      </c>
      <c r="N988">
        <f>_xlfn.XLOOKUP(calls[[#This Row],[Customer ID]],customers[Customer ID],customers[Age])</f>
        <v>36</v>
      </c>
      <c r="O988" t="str">
        <f>_xlfn.XLOOKUP(calls[[#This Row],[Customer ID]],customers[Customer ID],customers[Gender])</f>
        <v>Male</v>
      </c>
    </row>
    <row r="989" spans="2:15" x14ac:dyDescent="0.55000000000000004">
      <c r="B989" t="s">
        <v>1021</v>
      </c>
      <c r="C989" t="s">
        <v>20</v>
      </c>
      <c r="D989">
        <v>90</v>
      </c>
      <c r="E989" s="16" t="s">
        <v>9</v>
      </c>
      <c r="F989" s="17">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t="str">
        <f>_xlfn.XLOOKUP(calls[[#This Row],[Customer ID]],customers[Customer ID],customers[City])</f>
        <v>Cincinnati</v>
      </c>
      <c r="N989">
        <f>_xlfn.XLOOKUP(calls[[#This Row],[Customer ID]],customers[Customer ID],customers[Age])</f>
        <v>26</v>
      </c>
      <c r="O989" t="str">
        <f>_xlfn.XLOOKUP(calls[[#This Row],[Customer ID]],customers[Customer ID],customers[Gender])</f>
        <v>Male</v>
      </c>
    </row>
    <row r="990" spans="2:15" x14ac:dyDescent="0.55000000000000004">
      <c r="B990" t="s">
        <v>1022</v>
      </c>
      <c r="C990" t="s">
        <v>20</v>
      </c>
      <c r="D990">
        <v>106</v>
      </c>
      <c r="E990" s="16" t="s">
        <v>13</v>
      </c>
      <c r="F990" s="17">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t="str">
        <f>_xlfn.XLOOKUP(calls[[#This Row],[Customer ID]],customers[Customer ID],customers[City])</f>
        <v>Cincinnati</v>
      </c>
      <c r="N990">
        <f>_xlfn.XLOOKUP(calls[[#This Row],[Customer ID]],customers[Customer ID],customers[Age])</f>
        <v>26</v>
      </c>
      <c r="O990" t="str">
        <f>_xlfn.XLOOKUP(calls[[#This Row],[Customer ID]],customers[Customer ID],customers[Gender])</f>
        <v>Male</v>
      </c>
    </row>
    <row r="991" spans="2:15" x14ac:dyDescent="0.55000000000000004">
      <c r="B991" t="s">
        <v>1023</v>
      </c>
      <c r="C991" t="s">
        <v>22</v>
      </c>
      <c r="D991">
        <v>72</v>
      </c>
      <c r="E991" s="16" t="s">
        <v>10</v>
      </c>
      <c r="F991" s="17">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t="str">
        <f>_xlfn.XLOOKUP(calls[[#This Row],[Customer ID]],customers[Customer ID],customers[City])</f>
        <v>Columbus</v>
      </c>
      <c r="N991">
        <f>_xlfn.XLOOKUP(calls[[#This Row],[Customer ID]],customers[Customer ID],customers[Age])</f>
        <v>25</v>
      </c>
      <c r="O991" t="str">
        <f>_xlfn.XLOOKUP(calls[[#This Row],[Customer ID]],customers[Customer ID],customers[Gender])</f>
        <v>Female</v>
      </c>
    </row>
    <row r="992" spans="2:15" x14ac:dyDescent="0.55000000000000004">
      <c r="B992" t="s">
        <v>1024</v>
      </c>
      <c r="C992" t="s">
        <v>7</v>
      </c>
      <c r="D992">
        <v>124</v>
      </c>
      <c r="E992" s="16" t="s">
        <v>10</v>
      </c>
      <c r="F992" s="17">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t="str">
        <f>_xlfn.XLOOKUP(calls[[#This Row],[Customer ID]],customers[Customer ID],customers[City])</f>
        <v>Columbus</v>
      </c>
      <c r="N992">
        <f>_xlfn.XLOOKUP(calls[[#This Row],[Customer ID]],customers[Customer ID],customers[Age])</f>
        <v>23</v>
      </c>
      <c r="O992" t="str">
        <f>_xlfn.XLOOKUP(calls[[#This Row],[Customer ID]],customers[Customer ID],customers[Gender])</f>
        <v>Male</v>
      </c>
    </row>
    <row r="993" spans="2:15" x14ac:dyDescent="0.55000000000000004">
      <c r="B993" t="s">
        <v>1025</v>
      </c>
      <c r="C993" t="s">
        <v>24</v>
      </c>
      <c r="D993">
        <v>86</v>
      </c>
      <c r="E993" s="16" t="s">
        <v>6</v>
      </c>
      <c r="F993" s="17">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t="str">
        <f>_xlfn.XLOOKUP(calls[[#This Row],[Customer ID]],customers[Customer ID],customers[City])</f>
        <v>Cleveland</v>
      </c>
      <c r="N993">
        <f>_xlfn.XLOOKUP(calls[[#This Row],[Customer ID]],customers[Customer ID],customers[Age])</f>
        <v>31</v>
      </c>
      <c r="O993" t="str">
        <f>_xlfn.XLOOKUP(calls[[#This Row],[Customer ID]],customers[Customer ID],customers[Gender])</f>
        <v>Male</v>
      </c>
    </row>
    <row r="994" spans="2:15" x14ac:dyDescent="0.55000000000000004">
      <c r="B994" t="s">
        <v>1026</v>
      </c>
      <c r="C994" t="s">
        <v>23</v>
      </c>
      <c r="D994">
        <v>164</v>
      </c>
      <c r="E994" s="16" t="s">
        <v>6</v>
      </c>
      <c r="F994" s="17">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t="str">
        <f>_xlfn.XLOOKUP(calls[[#This Row],[Customer ID]],customers[Customer ID],customers[City])</f>
        <v>Columbus</v>
      </c>
      <c r="N994">
        <f>_xlfn.XLOOKUP(calls[[#This Row],[Customer ID]],customers[Customer ID],customers[Age])</f>
        <v>37</v>
      </c>
      <c r="O994" t="str">
        <f>_xlfn.XLOOKUP(calls[[#This Row],[Customer ID]],customers[Customer ID],customers[Gender])</f>
        <v>Male</v>
      </c>
    </row>
    <row r="995" spans="2:15" x14ac:dyDescent="0.55000000000000004">
      <c r="B995" t="s">
        <v>1027</v>
      </c>
      <c r="C995" t="s">
        <v>8</v>
      </c>
      <c r="D995">
        <v>40</v>
      </c>
      <c r="E995" s="16" t="s">
        <v>9</v>
      </c>
      <c r="F995" s="17">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t="str">
        <f>_xlfn.XLOOKUP(calls[[#This Row],[Customer ID]],customers[Customer ID],customers[City])</f>
        <v>Cincinnati</v>
      </c>
      <c r="N995">
        <f>_xlfn.XLOOKUP(calls[[#This Row],[Customer ID]],customers[Customer ID],customers[Age])</f>
        <v>30</v>
      </c>
      <c r="O995" t="str">
        <f>_xlfn.XLOOKUP(calls[[#This Row],[Customer ID]],customers[Customer ID],customers[Gender])</f>
        <v>Female</v>
      </c>
    </row>
    <row r="996" spans="2:15" x14ac:dyDescent="0.55000000000000004">
      <c r="B996" t="s">
        <v>1028</v>
      </c>
      <c r="C996" t="s">
        <v>21</v>
      </c>
      <c r="D996">
        <v>76</v>
      </c>
      <c r="E996" s="16" t="s">
        <v>11</v>
      </c>
      <c r="F996" s="17">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t="str">
        <f>_xlfn.XLOOKUP(calls[[#This Row],[Customer ID]],customers[Customer ID],customers[City])</f>
        <v>Columbus</v>
      </c>
      <c r="N996">
        <f>_xlfn.XLOOKUP(calls[[#This Row],[Customer ID]],customers[Customer ID],customers[Age])</f>
        <v>38</v>
      </c>
      <c r="O996" t="str">
        <f>_xlfn.XLOOKUP(calls[[#This Row],[Customer ID]],customers[Customer ID],customers[Gender])</f>
        <v>Female</v>
      </c>
    </row>
    <row r="997" spans="2:15" x14ac:dyDescent="0.55000000000000004">
      <c r="B997" t="s">
        <v>1029</v>
      </c>
      <c r="C997" t="s">
        <v>7</v>
      </c>
      <c r="D997">
        <v>95</v>
      </c>
      <c r="E997" s="16" t="s">
        <v>13</v>
      </c>
      <c r="F997" s="17">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t="str">
        <f>_xlfn.XLOOKUP(calls[[#This Row],[Customer ID]],customers[Customer ID],customers[City])</f>
        <v>Columbus</v>
      </c>
      <c r="N997">
        <f>_xlfn.XLOOKUP(calls[[#This Row],[Customer ID]],customers[Customer ID],customers[Age])</f>
        <v>23</v>
      </c>
      <c r="O997" t="str">
        <f>_xlfn.XLOOKUP(calls[[#This Row],[Customer ID]],customers[Customer ID],customers[Gender])</f>
        <v>Male</v>
      </c>
    </row>
    <row r="998" spans="2:15" x14ac:dyDescent="0.55000000000000004">
      <c r="B998" t="s">
        <v>1030</v>
      </c>
      <c r="C998" t="s">
        <v>21</v>
      </c>
      <c r="D998">
        <v>113</v>
      </c>
      <c r="E998" s="16" t="s">
        <v>10</v>
      </c>
      <c r="F998" s="17">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t="str">
        <f>_xlfn.XLOOKUP(calls[[#This Row],[Customer ID]],customers[Customer ID],customers[City])</f>
        <v>Columbus</v>
      </c>
      <c r="N998">
        <f>_xlfn.XLOOKUP(calls[[#This Row],[Customer ID]],customers[Customer ID],customers[Age])</f>
        <v>38</v>
      </c>
      <c r="O998" t="str">
        <f>_xlfn.XLOOKUP(calls[[#This Row],[Customer ID]],customers[Customer ID],customers[Gender])</f>
        <v>Female</v>
      </c>
    </row>
    <row r="999" spans="2:15" x14ac:dyDescent="0.55000000000000004">
      <c r="B999" t="s">
        <v>1031</v>
      </c>
      <c r="C999" t="s">
        <v>24</v>
      </c>
      <c r="D999">
        <v>81</v>
      </c>
      <c r="E999" s="16" t="s">
        <v>10</v>
      </c>
      <c r="F999" s="17">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t="str">
        <f>_xlfn.XLOOKUP(calls[[#This Row],[Customer ID]],customers[Customer ID],customers[City])</f>
        <v>Cleveland</v>
      </c>
      <c r="N999">
        <f>_xlfn.XLOOKUP(calls[[#This Row],[Customer ID]],customers[Customer ID],customers[Age])</f>
        <v>31</v>
      </c>
      <c r="O999" t="str">
        <f>_xlfn.XLOOKUP(calls[[#This Row],[Customer ID]],customers[Customer ID],customers[Gender])</f>
        <v>Male</v>
      </c>
    </row>
    <row r="1000" spans="2:15" x14ac:dyDescent="0.55000000000000004">
      <c r="B1000" t="s">
        <v>1032</v>
      </c>
      <c r="C1000" t="s">
        <v>15</v>
      </c>
      <c r="D1000">
        <v>127</v>
      </c>
      <c r="E1000" s="16" t="s">
        <v>13</v>
      </c>
      <c r="F1000" s="17">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t="str">
        <f>_xlfn.XLOOKUP(calls[[#This Row],[Customer ID]],customers[Customer ID],customers[City])</f>
        <v>Cleveland</v>
      </c>
      <c r="N1000">
        <f>_xlfn.XLOOKUP(calls[[#This Row],[Customer ID]],customers[Customer ID],customers[Age])</f>
        <v>22</v>
      </c>
      <c r="O1000" t="str">
        <f>_xlfn.XLOOKUP(calls[[#This Row],[Customer ID]],customers[Customer ID],customers[Gender])</f>
        <v>Female</v>
      </c>
    </row>
    <row r="1001" spans="2:15" x14ac:dyDescent="0.55000000000000004">
      <c r="B1001" t="s">
        <v>1033</v>
      </c>
      <c r="C1001" t="s">
        <v>14</v>
      </c>
      <c r="D1001">
        <v>146</v>
      </c>
      <c r="E1001" s="16" t="s">
        <v>10</v>
      </c>
      <c r="F1001" s="17">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t="str">
        <f>_xlfn.XLOOKUP(calls[[#This Row],[Customer ID]],customers[Customer ID],customers[City])</f>
        <v>Cleveland</v>
      </c>
      <c r="N1001">
        <f>_xlfn.XLOOKUP(calls[[#This Row],[Customer ID]],customers[Customer ID],customers[Age])</f>
        <v>37</v>
      </c>
      <c r="O1001" t="str">
        <f>_xlfn.XLOOKUP(calls[[#This Row],[Customer ID]],customers[Customer ID],customers[Gender])</f>
        <v>Female</v>
      </c>
    </row>
    <row r="1002" spans="2:15" x14ac:dyDescent="0.55000000000000004">
      <c r="B1002" t="s">
        <v>1034</v>
      </c>
      <c r="C1002" t="s">
        <v>18</v>
      </c>
      <c r="D1002">
        <v>123</v>
      </c>
      <c r="E1002" s="16" t="s">
        <v>10</v>
      </c>
      <c r="F1002" s="17">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t="str">
        <f>_xlfn.XLOOKUP(calls[[#This Row],[Customer ID]],customers[Customer ID],customers[City])</f>
        <v>Cleveland</v>
      </c>
      <c r="N1002">
        <f>_xlfn.XLOOKUP(calls[[#This Row],[Customer ID]],customers[Customer ID],customers[Age])</f>
        <v>30</v>
      </c>
      <c r="O1002" t="str">
        <f>_xlfn.XLOOKUP(calls[[#This Row],[Customer ID]],customers[Customer ID],customers[Gender])</f>
        <v>Female</v>
      </c>
    </row>
    <row r="1003" spans="2:15" x14ac:dyDescent="0.55000000000000004">
      <c r="B1003" t="s">
        <v>1035</v>
      </c>
      <c r="C1003" t="s">
        <v>22</v>
      </c>
      <c r="D1003">
        <v>114</v>
      </c>
      <c r="E1003" s="16" t="s">
        <v>11</v>
      </c>
      <c r="F1003" s="17">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t="str">
        <f>_xlfn.XLOOKUP(calls[[#This Row],[Customer ID]],customers[Customer ID],customers[City])</f>
        <v>Columbus</v>
      </c>
      <c r="N1003">
        <f>_xlfn.XLOOKUP(calls[[#This Row],[Customer ID]],customers[Customer ID],customers[Age])</f>
        <v>25</v>
      </c>
      <c r="O1003" t="str">
        <f>_xlfn.XLOOKUP(calls[[#This Row],[Customer ID]],customers[Customer ID],customers[Gender])</f>
        <v>Female</v>
      </c>
    </row>
  </sheetData>
  <phoneticPr fontId="2" type="noConversion"/>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2715-CDC6-4980-BF76-7C8CCF258D59}">
  <dimension ref="A1:D16"/>
  <sheetViews>
    <sheetView zoomScale="95" workbookViewId="0">
      <selection activeCell="D3" sqref="D3"/>
    </sheetView>
  </sheetViews>
  <sheetFormatPr defaultRowHeight="15.6" x14ac:dyDescent="0.55000000000000004"/>
  <cols>
    <col min="1" max="1" width="19.25" style="22" customWidth="1"/>
    <col min="2" max="2" width="37.5" style="25" bestFit="1" customWidth="1"/>
    <col min="3" max="3" width="10.25" customWidth="1"/>
    <col min="4" max="4" width="38.6484375" style="27" customWidth="1"/>
  </cols>
  <sheetData>
    <row r="1" spans="1:4" x14ac:dyDescent="0.55000000000000004">
      <c r="B1" s="24" t="s">
        <v>1040</v>
      </c>
      <c r="C1" s="14" t="s">
        <v>1041</v>
      </c>
      <c r="D1" s="26" t="s">
        <v>1042</v>
      </c>
    </row>
    <row r="2" spans="1:4" x14ac:dyDescent="0.55000000000000004">
      <c r="A2" s="22" t="s">
        <v>25</v>
      </c>
      <c r="B2" s="23" t="s">
        <v>1043</v>
      </c>
      <c r="C2" s="20" t="s">
        <v>1044</v>
      </c>
      <c r="D2" s="21" t="s">
        <v>1045</v>
      </c>
    </row>
    <row r="3" spans="1:4" ht="73.5" x14ac:dyDescent="0.55000000000000004">
      <c r="A3" s="22" t="s">
        <v>0</v>
      </c>
      <c r="B3" s="23" t="s">
        <v>1046</v>
      </c>
      <c r="C3" s="20" t="s">
        <v>1108</v>
      </c>
      <c r="D3" s="29" t="s">
        <v>1047</v>
      </c>
    </row>
    <row r="4" spans="1:4" ht="57.6" x14ac:dyDescent="0.55000000000000004">
      <c r="A4" s="22" t="s">
        <v>1</v>
      </c>
      <c r="B4" s="25" t="s">
        <v>1048</v>
      </c>
      <c r="C4" s="20" t="s">
        <v>1109</v>
      </c>
      <c r="D4" s="28" t="s">
        <v>1049</v>
      </c>
    </row>
    <row r="5" spans="1:4" ht="65.400000000000006" x14ac:dyDescent="0.55000000000000004">
      <c r="A5" s="22" t="s">
        <v>3</v>
      </c>
      <c r="B5" s="25" t="s">
        <v>1050</v>
      </c>
      <c r="C5" s="20" t="s">
        <v>1108</v>
      </c>
      <c r="D5" s="30" t="s">
        <v>1051</v>
      </c>
    </row>
    <row r="6" spans="1:4" ht="73.5" x14ac:dyDescent="0.65">
      <c r="A6" s="22" t="s">
        <v>4</v>
      </c>
      <c r="B6" s="25" t="s">
        <v>1052</v>
      </c>
      <c r="C6" s="20" t="s">
        <v>1110</v>
      </c>
      <c r="D6" s="31" t="s">
        <v>1053</v>
      </c>
    </row>
    <row r="7" spans="1:4" ht="117.6" x14ac:dyDescent="0.55000000000000004">
      <c r="A7" s="22" t="s">
        <v>2</v>
      </c>
      <c r="B7" s="32" t="s">
        <v>1054</v>
      </c>
      <c r="C7" s="20" t="s">
        <v>1044</v>
      </c>
      <c r="D7" s="33" t="s">
        <v>1055</v>
      </c>
    </row>
    <row r="8" spans="1:4" x14ac:dyDescent="0.55000000000000004">
      <c r="A8" s="22" t="s">
        <v>994</v>
      </c>
      <c r="B8" s="25" t="s">
        <v>1111</v>
      </c>
      <c r="C8" s="20" t="s">
        <v>1044</v>
      </c>
    </row>
    <row r="9" spans="1:4" x14ac:dyDescent="0.55000000000000004">
      <c r="A9" s="22" t="s">
        <v>1036</v>
      </c>
      <c r="B9" s="25" t="s">
        <v>1112</v>
      </c>
      <c r="C9" s="20" t="s">
        <v>1044</v>
      </c>
    </row>
    <row r="10" spans="1:4" x14ac:dyDescent="0.55000000000000004">
      <c r="A10" s="22" t="s">
        <v>1037</v>
      </c>
      <c r="B10" s="25" t="s">
        <v>1113</v>
      </c>
      <c r="C10" s="20" t="s">
        <v>1108</v>
      </c>
    </row>
    <row r="11" spans="1:4" x14ac:dyDescent="0.55000000000000004">
      <c r="A11" s="22" t="s">
        <v>1038</v>
      </c>
      <c r="B11" s="25" t="s">
        <v>1114</v>
      </c>
      <c r="C11" s="20" t="s">
        <v>1108</v>
      </c>
    </row>
    <row r="12" spans="1:4" x14ac:dyDescent="0.55000000000000004">
      <c r="A12" s="22" t="s">
        <v>1039</v>
      </c>
      <c r="B12" s="25" t="s">
        <v>1115</v>
      </c>
      <c r="C12" s="20" t="s">
        <v>1044</v>
      </c>
    </row>
    <row r="13" spans="1:4" x14ac:dyDescent="0.55000000000000004">
      <c r="A13" s="22" t="s">
        <v>0</v>
      </c>
      <c r="B13" s="25" t="s">
        <v>1116</v>
      </c>
      <c r="C13" s="20" t="s">
        <v>1108</v>
      </c>
    </row>
    <row r="14" spans="1:4" x14ac:dyDescent="0.55000000000000004">
      <c r="A14" s="22" t="s">
        <v>995</v>
      </c>
      <c r="B14" s="25" t="s">
        <v>1117</v>
      </c>
      <c r="C14" s="20" t="s">
        <v>1108</v>
      </c>
    </row>
    <row r="15" spans="1:4" x14ac:dyDescent="0.55000000000000004">
      <c r="A15" s="22" t="s">
        <v>996</v>
      </c>
      <c r="B15" s="25" t="s">
        <v>1118</v>
      </c>
      <c r="C15" s="20" t="s">
        <v>1044</v>
      </c>
    </row>
    <row r="16" spans="1:4" x14ac:dyDescent="0.55000000000000004">
      <c r="A16" s="22" t="s">
        <v>997</v>
      </c>
      <c r="B16" s="25" t="s">
        <v>1119</v>
      </c>
      <c r="C16" s="20" t="s">
        <v>1108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8B4C-20D8-4212-A36C-5C528C75D605}">
  <dimension ref="A1:K195"/>
  <sheetViews>
    <sheetView zoomScale="63" workbookViewId="0">
      <selection activeCell="D72" sqref="D72"/>
    </sheetView>
  </sheetViews>
  <sheetFormatPr defaultRowHeight="14.4" x14ac:dyDescent="0.55000000000000004"/>
  <cols>
    <col min="1" max="1" width="27.44921875" customWidth="1"/>
    <col min="2" max="2" width="22.59765625" customWidth="1"/>
    <col min="3" max="3" width="22.84765625" bestFit="1" customWidth="1"/>
    <col min="4" max="4" width="28.84765625" customWidth="1"/>
    <col min="5" max="5" width="26.296875" customWidth="1"/>
    <col min="6" max="6" width="10.09765625" bestFit="1" customWidth="1"/>
    <col min="7" max="7" width="14.59765625" bestFit="1" customWidth="1"/>
    <col min="8" max="8" width="4.75" bestFit="1" customWidth="1"/>
    <col min="9" max="9" width="23.69921875" bestFit="1" customWidth="1"/>
    <col min="10" max="10" width="34.34765625" customWidth="1"/>
    <col min="11" max="11" width="20" customWidth="1"/>
  </cols>
  <sheetData>
    <row r="1" spans="1:5" ht="21.3" x14ac:dyDescent="0.85">
      <c r="A1" s="34" t="s">
        <v>1107</v>
      </c>
    </row>
    <row r="2" spans="1:5" ht="21.3" x14ac:dyDescent="0.85">
      <c r="A2" s="34" t="s">
        <v>1056</v>
      </c>
    </row>
    <row r="3" spans="1:5" ht="21.3" x14ac:dyDescent="0.85">
      <c r="A3" s="35" t="s">
        <v>1059</v>
      </c>
      <c r="D3" s="34" t="s">
        <v>1087</v>
      </c>
    </row>
    <row r="4" spans="1:5" x14ac:dyDescent="0.55000000000000004">
      <c r="A4" t="s">
        <v>1060</v>
      </c>
      <c r="B4">
        <v>1000</v>
      </c>
      <c r="D4" s="35" t="s">
        <v>3</v>
      </c>
      <c r="E4" t="s">
        <v>1063</v>
      </c>
    </row>
    <row r="5" spans="1:5" x14ac:dyDescent="0.55000000000000004">
      <c r="A5" t="s">
        <v>1061</v>
      </c>
      <c r="B5" s="38">
        <v>89.85</v>
      </c>
      <c r="D5" t="s">
        <v>11</v>
      </c>
      <c r="E5">
        <v>18415</v>
      </c>
    </row>
    <row r="6" spans="1:5" x14ac:dyDescent="0.55000000000000004">
      <c r="A6" t="s">
        <v>1062</v>
      </c>
      <c r="B6" s="37">
        <v>3.8854000000000033</v>
      </c>
      <c r="D6" t="s">
        <v>9</v>
      </c>
      <c r="E6">
        <v>20581</v>
      </c>
    </row>
    <row r="7" spans="1:5" x14ac:dyDescent="0.55000000000000004">
      <c r="A7" t="s">
        <v>1063</v>
      </c>
      <c r="B7">
        <v>96623</v>
      </c>
      <c r="D7" t="s">
        <v>6</v>
      </c>
      <c r="E7">
        <v>20872</v>
      </c>
    </row>
    <row r="8" spans="1:5" x14ac:dyDescent="0.55000000000000004">
      <c r="D8" t="s">
        <v>13</v>
      </c>
      <c r="E8">
        <v>16651</v>
      </c>
    </row>
    <row r="9" spans="1:5" x14ac:dyDescent="0.55000000000000004">
      <c r="D9" t="s">
        <v>10</v>
      </c>
      <c r="E9">
        <v>20104</v>
      </c>
    </row>
    <row r="11" spans="1:5" ht="21.3" x14ac:dyDescent="0.85">
      <c r="A11" s="34" t="s">
        <v>1071</v>
      </c>
    </row>
    <row r="13" spans="1:5" x14ac:dyDescent="0.55000000000000004">
      <c r="A13" s="35" t="s">
        <v>1037</v>
      </c>
      <c r="B13" t="s">
        <v>1057</v>
      </c>
    </row>
    <row r="14" spans="1:5" ht="21.3" x14ac:dyDescent="0.85">
      <c r="A14" t="s">
        <v>1064</v>
      </c>
      <c r="B14">
        <v>146</v>
      </c>
      <c r="D14" s="34" t="s">
        <v>1088</v>
      </c>
    </row>
    <row r="15" spans="1:5" x14ac:dyDescent="0.55000000000000004">
      <c r="A15" t="s">
        <v>1065</v>
      </c>
      <c r="B15">
        <v>133</v>
      </c>
      <c r="D15" s="35" t="s">
        <v>997</v>
      </c>
      <c r="E15" t="s">
        <v>1057</v>
      </c>
    </row>
    <row r="16" spans="1:5" x14ac:dyDescent="0.55000000000000004">
      <c r="A16" t="s">
        <v>1066</v>
      </c>
      <c r="B16">
        <v>138</v>
      </c>
      <c r="D16" t="s">
        <v>1002</v>
      </c>
      <c r="E16">
        <v>276</v>
      </c>
    </row>
    <row r="17" spans="1:11" x14ac:dyDescent="0.55000000000000004">
      <c r="A17" t="s">
        <v>1067</v>
      </c>
      <c r="B17">
        <v>153</v>
      </c>
      <c r="D17" t="s">
        <v>1001</v>
      </c>
      <c r="E17">
        <v>389</v>
      </c>
    </row>
    <row r="18" spans="1:11" x14ac:dyDescent="0.55000000000000004">
      <c r="A18" t="s">
        <v>1068</v>
      </c>
      <c r="B18">
        <v>128</v>
      </c>
      <c r="D18" t="s">
        <v>1000</v>
      </c>
      <c r="E18">
        <v>335</v>
      </c>
    </row>
    <row r="19" spans="1:11" x14ac:dyDescent="0.55000000000000004">
      <c r="A19" t="s">
        <v>1069</v>
      </c>
      <c r="B19">
        <v>141</v>
      </c>
    </row>
    <row r="20" spans="1:11" x14ac:dyDescent="0.55000000000000004">
      <c r="A20" t="s">
        <v>1070</v>
      </c>
      <c r="B20">
        <v>161</v>
      </c>
    </row>
    <row r="22" spans="1:11" ht="21.3" x14ac:dyDescent="0.85">
      <c r="D22" s="34" t="s">
        <v>1090</v>
      </c>
    </row>
    <row r="23" spans="1:11" x14ac:dyDescent="0.55000000000000004">
      <c r="D23" s="35" t="s">
        <v>3</v>
      </c>
      <c r="E23" t="s">
        <v>1057</v>
      </c>
    </row>
    <row r="24" spans="1:11" ht="21.3" x14ac:dyDescent="0.85">
      <c r="A24" s="34" t="s">
        <v>1072</v>
      </c>
      <c r="D24" t="s">
        <v>11</v>
      </c>
      <c r="E24">
        <v>189</v>
      </c>
    </row>
    <row r="25" spans="1:11" x14ac:dyDescent="0.55000000000000004">
      <c r="A25" s="35" t="s">
        <v>1073</v>
      </c>
      <c r="B25" t="s">
        <v>1057</v>
      </c>
      <c r="D25" t="s">
        <v>9</v>
      </c>
      <c r="E25">
        <v>218</v>
      </c>
    </row>
    <row r="26" spans="1:11" x14ac:dyDescent="0.55000000000000004">
      <c r="A26" t="s">
        <v>1074</v>
      </c>
      <c r="B26">
        <v>79</v>
      </c>
      <c r="D26" t="s">
        <v>6</v>
      </c>
      <c r="E26">
        <v>207</v>
      </c>
    </row>
    <row r="27" spans="1:11" x14ac:dyDescent="0.55000000000000004">
      <c r="A27" t="s">
        <v>1075</v>
      </c>
      <c r="B27">
        <v>66</v>
      </c>
      <c r="D27" t="s">
        <v>13</v>
      </c>
      <c r="E27">
        <v>186</v>
      </c>
    </row>
    <row r="28" spans="1:11" x14ac:dyDescent="0.55000000000000004">
      <c r="A28" t="s">
        <v>1076</v>
      </c>
      <c r="B28">
        <v>155</v>
      </c>
      <c r="D28" t="s">
        <v>10</v>
      </c>
      <c r="E28">
        <v>200</v>
      </c>
    </row>
    <row r="29" spans="1:11" x14ac:dyDescent="0.55000000000000004">
      <c r="A29" t="s">
        <v>1077</v>
      </c>
      <c r="B29">
        <v>136</v>
      </c>
    </row>
    <row r="30" spans="1:11" x14ac:dyDescent="0.55000000000000004">
      <c r="A30" t="s">
        <v>1078</v>
      </c>
      <c r="B30">
        <v>83</v>
      </c>
    </row>
    <row r="31" spans="1:11" ht="21.3" x14ac:dyDescent="0.85">
      <c r="A31" t="s">
        <v>1079</v>
      </c>
      <c r="B31">
        <v>67</v>
      </c>
      <c r="D31" s="34" t="s">
        <v>1091</v>
      </c>
      <c r="J31" s="34" t="s">
        <v>1106</v>
      </c>
    </row>
    <row r="32" spans="1:11" x14ac:dyDescent="0.55000000000000004">
      <c r="A32" t="s">
        <v>1080</v>
      </c>
      <c r="B32">
        <v>64</v>
      </c>
      <c r="D32" s="35" t="s">
        <v>3</v>
      </c>
      <c r="E32" t="s">
        <v>1092</v>
      </c>
      <c r="H32" s="40"/>
      <c r="J32" s="39" t="s">
        <v>1092</v>
      </c>
      <c r="K32" s="39" t="s">
        <v>1093</v>
      </c>
    </row>
    <row r="33" spans="1:11" x14ac:dyDescent="0.55000000000000004">
      <c r="A33" t="s">
        <v>1081</v>
      </c>
      <c r="B33">
        <v>50</v>
      </c>
      <c r="D33" t="s">
        <v>11</v>
      </c>
      <c r="E33" s="40">
        <v>3.9227513227513247</v>
      </c>
      <c r="H33" s="40"/>
      <c r="J33" s="40">
        <v>3.9227513227513247</v>
      </c>
      <c r="K33" s="38">
        <v>89.068783068783063</v>
      </c>
    </row>
    <row r="34" spans="1:11" x14ac:dyDescent="0.55000000000000004">
      <c r="A34" t="s">
        <v>1082</v>
      </c>
      <c r="B34">
        <v>76</v>
      </c>
      <c r="D34" t="s">
        <v>9</v>
      </c>
      <c r="E34" s="40">
        <v>3.8706422018348627</v>
      </c>
      <c r="H34" s="40"/>
      <c r="J34" s="40">
        <v>3.8706422018348627</v>
      </c>
      <c r="K34" s="38">
        <v>88.532110091743121</v>
      </c>
    </row>
    <row r="35" spans="1:11" x14ac:dyDescent="0.55000000000000004">
      <c r="A35" t="s">
        <v>1083</v>
      </c>
      <c r="B35">
        <v>114</v>
      </c>
      <c r="D35" t="s">
        <v>6</v>
      </c>
      <c r="E35" s="40">
        <v>3.8589371980676304</v>
      </c>
      <c r="H35" s="40"/>
      <c r="J35" s="40">
        <v>3.8589371980676304</v>
      </c>
      <c r="K35" s="38">
        <v>85.507246376811594</v>
      </c>
    </row>
    <row r="36" spans="1:11" x14ac:dyDescent="0.55000000000000004">
      <c r="A36" t="s">
        <v>1084</v>
      </c>
      <c r="B36">
        <v>57</v>
      </c>
      <c r="D36" t="s">
        <v>13</v>
      </c>
      <c r="E36" s="40">
        <v>3.8973118279569863</v>
      </c>
      <c r="H36" s="40"/>
      <c r="J36" s="40">
        <v>3.8973118279569863</v>
      </c>
      <c r="K36" s="38">
        <v>95.736559139784944</v>
      </c>
    </row>
    <row r="37" spans="1:11" x14ac:dyDescent="0.55000000000000004">
      <c r="A37" t="s">
        <v>1085</v>
      </c>
      <c r="B37">
        <v>53</v>
      </c>
      <c r="D37" t="s">
        <v>10</v>
      </c>
      <c r="E37" s="40">
        <v>3.8824999999999998</v>
      </c>
      <c r="H37" s="40"/>
      <c r="J37" s="40">
        <v>3.8824999999999998</v>
      </c>
      <c r="K37" s="38">
        <v>91.045000000000002</v>
      </c>
    </row>
    <row r="38" spans="1:11" x14ac:dyDescent="0.55000000000000004">
      <c r="H38" s="40"/>
    </row>
    <row r="39" spans="1:11" x14ac:dyDescent="0.55000000000000004">
      <c r="H39" s="40"/>
      <c r="J39" t="s">
        <v>11</v>
      </c>
    </row>
    <row r="40" spans="1:11" ht="21.3" x14ac:dyDescent="0.85">
      <c r="A40" s="34" t="s">
        <v>1086</v>
      </c>
      <c r="H40" s="40"/>
      <c r="J40" t="s">
        <v>9</v>
      </c>
    </row>
    <row r="41" spans="1:11" x14ac:dyDescent="0.55000000000000004">
      <c r="H41" s="40"/>
      <c r="J41" t="s">
        <v>6</v>
      </c>
    </row>
    <row r="42" spans="1:11" x14ac:dyDescent="0.55000000000000004">
      <c r="A42" s="35" t="s">
        <v>1073</v>
      </c>
      <c r="B42" t="s">
        <v>1058</v>
      </c>
      <c r="H42" s="40"/>
      <c r="J42" t="s">
        <v>13</v>
      </c>
    </row>
    <row r="43" spans="1:11" x14ac:dyDescent="0.55000000000000004">
      <c r="A43" t="s">
        <v>1074</v>
      </c>
      <c r="B43">
        <v>7790</v>
      </c>
      <c r="H43" s="40"/>
      <c r="J43" t="s">
        <v>10</v>
      </c>
    </row>
    <row r="44" spans="1:11" x14ac:dyDescent="0.55000000000000004">
      <c r="A44" t="s">
        <v>1075</v>
      </c>
      <c r="B44">
        <v>6122</v>
      </c>
      <c r="H44" s="40"/>
    </row>
    <row r="45" spans="1:11" x14ac:dyDescent="0.55000000000000004">
      <c r="A45" t="s">
        <v>1076</v>
      </c>
      <c r="B45">
        <v>14563</v>
      </c>
      <c r="H45" s="40"/>
    </row>
    <row r="46" spans="1:11" x14ac:dyDescent="0.55000000000000004">
      <c r="A46" t="s">
        <v>1077</v>
      </c>
      <c r="B46">
        <v>13536</v>
      </c>
      <c r="H46" s="40"/>
    </row>
    <row r="47" spans="1:11" x14ac:dyDescent="0.55000000000000004">
      <c r="A47" t="s">
        <v>1078</v>
      </c>
      <c r="B47">
        <v>8171</v>
      </c>
      <c r="H47" s="40"/>
    </row>
    <row r="48" spans="1:11" x14ac:dyDescent="0.55000000000000004">
      <c r="A48" t="s">
        <v>1079</v>
      </c>
      <c r="B48">
        <v>5893</v>
      </c>
      <c r="H48" s="40"/>
    </row>
    <row r="49" spans="1:10" x14ac:dyDescent="0.55000000000000004">
      <c r="A49" t="s">
        <v>1080</v>
      </c>
      <c r="B49">
        <v>6007</v>
      </c>
      <c r="H49" s="40"/>
    </row>
    <row r="50" spans="1:10" x14ac:dyDescent="0.55000000000000004">
      <c r="A50" t="s">
        <v>1081</v>
      </c>
      <c r="B50">
        <v>4950</v>
      </c>
      <c r="H50" s="40"/>
    </row>
    <row r="51" spans="1:10" x14ac:dyDescent="0.55000000000000004">
      <c r="A51" t="s">
        <v>1082</v>
      </c>
      <c r="B51">
        <v>6689</v>
      </c>
      <c r="H51" s="40"/>
    </row>
    <row r="52" spans="1:10" x14ac:dyDescent="0.55000000000000004">
      <c r="A52" t="s">
        <v>1083</v>
      </c>
      <c r="B52">
        <v>10875</v>
      </c>
      <c r="H52" s="40"/>
    </row>
    <row r="53" spans="1:10" ht="21.3" x14ac:dyDescent="0.85">
      <c r="A53" t="s">
        <v>1084</v>
      </c>
      <c r="B53">
        <v>6775</v>
      </c>
      <c r="D53" s="34" t="s">
        <v>1094</v>
      </c>
      <c r="E53" s="34"/>
      <c r="F53" s="34"/>
      <c r="H53" s="40"/>
      <c r="I53" s="34" t="s">
        <v>1101</v>
      </c>
    </row>
    <row r="54" spans="1:10" ht="21.3" x14ac:dyDescent="0.85">
      <c r="A54" t="s">
        <v>1085</v>
      </c>
      <c r="B54">
        <v>5252</v>
      </c>
      <c r="D54" s="34"/>
      <c r="E54" s="34"/>
      <c r="F54" s="34"/>
      <c r="H54" s="40"/>
      <c r="I54" s="35" t="s">
        <v>997</v>
      </c>
      <c r="J54" t="s">
        <v>1057</v>
      </c>
    </row>
    <row r="55" spans="1:10" x14ac:dyDescent="0.55000000000000004">
      <c r="H55" s="40"/>
      <c r="I55" t="s">
        <v>1002</v>
      </c>
      <c r="J55">
        <v>276</v>
      </c>
    </row>
    <row r="56" spans="1:10" ht="21.3" x14ac:dyDescent="0.85">
      <c r="D56" s="34" t="s">
        <v>1095</v>
      </c>
      <c r="H56" s="40"/>
      <c r="I56" t="s">
        <v>1001</v>
      </c>
      <c r="J56">
        <v>389</v>
      </c>
    </row>
    <row r="57" spans="1:10" x14ac:dyDescent="0.55000000000000004">
      <c r="D57" t="s">
        <v>1099</v>
      </c>
      <c r="E57" t="s">
        <v>1098</v>
      </c>
      <c r="I57" t="s">
        <v>1000</v>
      </c>
      <c r="J57">
        <v>335</v>
      </c>
    </row>
    <row r="58" spans="1:10" x14ac:dyDescent="0.55000000000000004">
      <c r="D58">
        <v>15</v>
      </c>
      <c r="E58">
        <v>32.6</v>
      </c>
    </row>
    <row r="59" spans="1:10" ht="21.3" x14ac:dyDescent="0.85">
      <c r="D59" s="34" t="s">
        <v>1105</v>
      </c>
    </row>
    <row r="60" spans="1:10" x14ac:dyDescent="0.55000000000000004">
      <c r="D60" s="35" t="s">
        <v>997</v>
      </c>
      <c r="E60" t="s">
        <v>1092</v>
      </c>
    </row>
    <row r="61" spans="1:10" x14ac:dyDescent="0.55000000000000004">
      <c r="D61" t="s">
        <v>1002</v>
      </c>
      <c r="E61" s="40">
        <v>4.0249999999999941</v>
      </c>
    </row>
    <row r="62" spans="1:10" x14ac:dyDescent="0.55000000000000004">
      <c r="D62" t="s">
        <v>1001</v>
      </c>
      <c r="E62" s="40">
        <v>3.8820051413881775</v>
      </c>
    </row>
    <row r="63" spans="1:10" x14ac:dyDescent="0.55000000000000004">
      <c r="D63" t="s">
        <v>1000</v>
      </c>
      <c r="E63" s="40">
        <v>3.774328358208952</v>
      </c>
    </row>
    <row r="64" spans="1:10" ht="21.3" x14ac:dyDescent="0.85">
      <c r="D64" s="34" t="s">
        <v>1104</v>
      </c>
      <c r="H64" s="40"/>
    </row>
    <row r="65" spans="4:8" x14ac:dyDescent="0.55000000000000004">
      <c r="D65" s="35" t="s">
        <v>1096</v>
      </c>
      <c r="E65" t="s">
        <v>1097</v>
      </c>
      <c r="H65" s="40"/>
    </row>
    <row r="66" spans="4:8" x14ac:dyDescent="0.55000000000000004">
      <c r="D66" s="42" t="s">
        <v>999</v>
      </c>
      <c r="E66" s="1">
        <v>0.6</v>
      </c>
      <c r="H66" s="40"/>
    </row>
    <row r="67" spans="4:8" x14ac:dyDescent="0.55000000000000004">
      <c r="D67" s="42" t="s">
        <v>998</v>
      </c>
      <c r="E67" s="1">
        <v>0.4</v>
      </c>
      <c r="H67" s="40"/>
    </row>
    <row r="68" spans="4:8" ht="21.3" x14ac:dyDescent="0.85">
      <c r="D68" s="34" t="s">
        <v>1103</v>
      </c>
      <c r="H68" s="40"/>
    </row>
    <row r="69" spans="4:8" x14ac:dyDescent="0.55000000000000004">
      <c r="D69" s="35" t="s">
        <v>996</v>
      </c>
      <c r="E69" t="s">
        <v>1092</v>
      </c>
      <c r="H69" s="40"/>
    </row>
    <row r="70" spans="4:8" x14ac:dyDescent="0.55000000000000004">
      <c r="D70">
        <v>22</v>
      </c>
      <c r="E70" s="37">
        <v>3.8522388059701487</v>
      </c>
      <c r="G70" s="41"/>
      <c r="H70" s="41"/>
    </row>
    <row r="71" spans="4:8" x14ac:dyDescent="0.55000000000000004">
      <c r="D71">
        <v>23</v>
      </c>
      <c r="E71" s="37">
        <v>3.7774193548387092</v>
      </c>
    </row>
    <row r="72" spans="4:8" x14ac:dyDescent="0.55000000000000004">
      <c r="D72">
        <v>25</v>
      </c>
      <c r="E72" s="37">
        <v>3.62608695652174</v>
      </c>
    </row>
    <row r="73" spans="4:8" x14ac:dyDescent="0.55000000000000004">
      <c r="D73">
        <v>26</v>
      </c>
      <c r="E73" s="37">
        <v>4.0179999999999998</v>
      </c>
    </row>
    <row r="74" spans="4:8" x14ac:dyDescent="0.55000000000000004">
      <c r="D74">
        <v>28</v>
      </c>
      <c r="E74" s="37">
        <v>4.1300000000000008</v>
      </c>
    </row>
    <row r="75" spans="4:8" x14ac:dyDescent="0.55000000000000004">
      <c r="D75">
        <v>30</v>
      </c>
      <c r="E75" s="37">
        <v>3.9246575342465753</v>
      </c>
    </row>
    <row r="76" spans="4:8" x14ac:dyDescent="0.55000000000000004">
      <c r="D76">
        <v>31</v>
      </c>
      <c r="E76" s="37">
        <v>4.0730158730158736</v>
      </c>
      <c r="G76" s="41"/>
      <c r="H76" s="41"/>
    </row>
    <row r="77" spans="4:8" x14ac:dyDescent="0.55000000000000004">
      <c r="D77">
        <v>36</v>
      </c>
      <c r="E77" s="37">
        <v>3.976829268292684</v>
      </c>
    </row>
    <row r="78" spans="4:8" x14ac:dyDescent="0.55000000000000004">
      <c r="D78">
        <v>37</v>
      </c>
      <c r="E78" s="37">
        <v>3.8844594594594568</v>
      </c>
    </row>
    <row r="79" spans="4:8" x14ac:dyDescent="0.55000000000000004">
      <c r="D79">
        <v>38</v>
      </c>
      <c r="E79" s="37">
        <v>3.609999999999999</v>
      </c>
    </row>
    <row r="80" spans="4:8" x14ac:dyDescent="0.55000000000000004">
      <c r="D80">
        <v>41</v>
      </c>
      <c r="E80" s="37">
        <v>3.8307692307692309</v>
      </c>
    </row>
    <row r="81" spans="4:8" x14ac:dyDescent="0.55000000000000004">
      <c r="D81">
        <v>42</v>
      </c>
      <c r="E81" s="37">
        <v>3.901694915254236</v>
      </c>
    </row>
    <row r="82" spans="4:8" x14ac:dyDescent="0.55000000000000004">
      <c r="D82">
        <v>43</v>
      </c>
      <c r="E82" s="37">
        <v>3.8389830508474563</v>
      </c>
      <c r="G82" s="41"/>
      <c r="H82" s="41"/>
    </row>
    <row r="85" spans="4:8" ht="21.3" x14ac:dyDescent="0.85">
      <c r="D85" s="34" t="s">
        <v>1102</v>
      </c>
    </row>
    <row r="86" spans="4:8" x14ac:dyDescent="0.55000000000000004">
      <c r="D86" s="35" t="s">
        <v>0</v>
      </c>
      <c r="E86" t="s">
        <v>1057</v>
      </c>
      <c r="H86" s="40"/>
    </row>
    <row r="87" spans="4:8" x14ac:dyDescent="0.55000000000000004">
      <c r="D87" t="s">
        <v>12</v>
      </c>
      <c r="E87" s="38">
        <v>82</v>
      </c>
      <c r="H87" s="40"/>
    </row>
    <row r="88" spans="4:8" x14ac:dyDescent="0.55000000000000004">
      <c r="D88" t="s">
        <v>23</v>
      </c>
      <c r="E88" s="38">
        <v>79</v>
      </c>
      <c r="H88" s="40"/>
    </row>
    <row r="89" spans="4:8" x14ac:dyDescent="0.55000000000000004">
      <c r="D89" t="s">
        <v>8</v>
      </c>
      <c r="E89" s="38">
        <v>74</v>
      </c>
      <c r="H89" s="40"/>
    </row>
    <row r="90" spans="4:8" x14ac:dyDescent="0.55000000000000004">
      <c r="D90" t="s">
        <v>18</v>
      </c>
      <c r="E90" s="38">
        <v>72</v>
      </c>
      <c r="H90" s="40"/>
    </row>
    <row r="91" spans="4:8" x14ac:dyDescent="0.55000000000000004">
      <c r="D91" t="s">
        <v>16</v>
      </c>
      <c r="E91" s="38">
        <v>70</v>
      </c>
      <c r="H91" s="40"/>
    </row>
    <row r="92" spans="4:8" x14ac:dyDescent="0.55000000000000004">
      <c r="H92" s="40"/>
    </row>
    <row r="93" spans="4:8" x14ac:dyDescent="0.55000000000000004">
      <c r="H93" s="40"/>
    </row>
    <row r="94" spans="4:8" x14ac:dyDescent="0.55000000000000004">
      <c r="H94" s="40"/>
    </row>
    <row r="95" spans="4:8" x14ac:dyDescent="0.55000000000000004">
      <c r="H95" s="40"/>
    </row>
    <row r="96" spans="4:8" x14ac:dyDescent="0.55000000000000004">
      <c r="H96" s="40"/>
    </row>
    <row r="97" spans="8:8" x14ac:dyDescent="0.55000000000000004">
      <c r="H97" s="40"/>
    </row>
    <row r="98" spans="8:8" x14ac:dyDescent="0.55000000000000004">
      <c r="H98" s="40"/>
    </row>
    <row r="99" spans="8:8" x14ac:dyDescent="0.55000000000000004">
      <c r="H99" s="40"/>
    </row>
    <row r="100" spans="8:8" x14ac:dyDescent="0.55000000000000004">
      <c r="H100" s="40"/>
    </row>
    <row r="101" spans="8:8" x14ac:dyDescent="0.55000000000000004">
      <c r="H101" s="40"/>
    </row>
    <row r="102" spans="8:8" x14ac:dyDescent="0.55000000000000004">
      <c r="H102" s="40"/>
    </row>
    <row r="103" spans="8:8" x14ac:dyDescent="0.55000000000000004">
      <c r="H103" s="40"/>
    </row>
    <row r="104" spans="8:8" x14ac:dyDescent="0.55000000000000004">
      <c r="H104" s="40"/>
    </row>
    <row r="105" spans="8:8" x14ac:dyDescent="0.55000000000000004">
      <c r="H105" s="40"/>
    </row>
    <row r="106" spans="8:8" x14ac:dyDescent="0.55000000000000004">
      <c r="H106" s="40"/>
    </row>
    <row r="107" spans="8:8" x14ac:dyDescent="0.55000000000000004">
      <c r="H107" s="40"/>
    </row>
    <row r="108" spans="8:8" x14ac:dyDescent="0.55000000000000004">
      <c r="H108" s="40"/>
    </row>
    <row r="109" spans="8:8" x14ac:dyDescent="0.55000000000000004">
      <c r="H109" s="40"/>
    </row>
    <row r="110" spans="8:8" x14ac:dyDescent="0.55000000000000004">
      <c r="H110" s="40"/>
    </row>
    <row r="111" spans="8:8" x14ac:dyDescent="0.55000000000000004">
      <c r="H111" s="40"/>
    </row>
    <row r="112" spans="8:8" x14ac:dyDescent="0.55000000000000004">
      <c r="H112" s="40"/>
    </row>
    <row r="113" spans="8:8" x14ac:dyDescent="0.55000000000000004">
      <c r="H113" s="40"/>
    </row>
    <row r="114" spans="8:8" x14ac:dyDescent="0.55000000000000004">
      <c r="H114" s="40"/>
    </row>
    <row r="115" spans="8:8" x14ac:dyDescent="0.55000000000000004">
      <c r="H115" s="40"/>
    </row>
    <row r="116" spans="8:8" x14ac:dyDescent="0.55000000000000004">
      <c r="H116" s="40"/>
    </row>
    <row r="117" spans="8:8" x14ac:dyDescent="0.55000000000000004">
      <c r="H117" s="40"/>
    </row>
    <row r="118" spans="8:8" x14ac:dyDescent="0.55000000000000004">
      <c r="H118" s="40"/>
    </row>
    <row r="119" spans="8:8" x14ac:dyDescent="0.55000000000000004">
      <c r="H119" s="40"/>
    </row>
    <row r="120" spans="8:8" x14ac:dyDescent="0.55000000000000004">
      <c r="H120" s="40"/>
    </row>
    <row r="121" spans="8:8" x14ac:dyDescent="0.55000000000000004">
      <c r="H121" s="40"/>
    </row>
    <row r="122" spans="8:8" x14ac:dyDescent="0.55000000000000004">
      <c r="H122" s="40"/>
    </row>
    <row r="123" spans="8:8" x14ac:dyDescent="0.55000000000000004">
      <c r="H123" s="40"/>
    </row>
    <row r="124" spans="8:8" x14ac:dyDescent="0.55000000000000004">
      <c r="H124" s="40"/>
    </row>
    <row r="125" spans="8:8" x14ac:dyDescent="0.55000000000000004">
      <c r="H125" s="40"/>
    </row>
    <row r="126" spans="8:8" x14ac:dyDescent="0.55000000000000004">
      <c r="H126" s="40"/>
    </row>
    <row r="127" spans="8:8" x14ac:dyDescent="0.55000000000000004">
      <c r="H127" s="40"/>
    </row>
    <row r="128" spans="8:8" x14ac:dyDescent="0.55000000000000004">
      <c r="H128" s="40"/>
    </row>
    <row r="129" spans="8:8" x14ac:dyDescent="0.55000000000000004">
      <c r="H129" s="40"/>
    </row>
    <row r="130" spans="8:8" x14ac:dyDescent="0.55000000000000004">
      <c r="H130" s="40"/>
    </row>
    <row r="131" spans="8:8" x14ac:dyDescent="0.55000000000000004">
      <c r="H131" s="40"/>
    </row>
    <row r="132" spans="8:8" x14ac:dyDescent="0.55000000000000004">
      <c r="H132" s="40"/>
    </row>
    <row r="133" spans="8:8" x14ac:dyDescent="0.55000000000000004">
      <c r="H133" s="40"/>
    </row>
    <row r="134" spans="8:8" x14ac:dyDescent="0.55000000000000004">
      <c r="H134" s="40"/>
    </row>
    <row r="135" spans="8:8" x14ac:dyDescent="0.55000000000000004">
      <c r="H135" s="40"/>
    </row>
    <row r="136" spans="8:8" x14ac:dyDescent="0.55000000000000004">
      <c r="H136" s="40"/>
    </row>
    <row r="137" spans="8:8" x14ac:dyDescent="0.55000000000000004">
      <c r="H137" s="40"/>
    </row>
    <row r="138" spans="8:8" x14ac:dyDescent="0.55000000000000004">
      <c r="H138" s="40"/>
    </row>
    <row r="139" spans="8:8" x14ac:dyDescent="0.55000000000000004">
      <c r="H139" s="40"/>
    </row>
    <row r="140" spans="8:8" x14ac:dyDescent="0.55000000000000004">
      <c r="H140" s="40"/>
    </row>
    <row r="141" spans="8:8" x14ac:dyDescent="0.55000000000000004">
      <c r="H141" s="40"/>
    </row>
    <row r="142" spans="8:8" x14ac:dyDescent="0.55000000000000004">
      <c r="H142" s="40"/>
    </row>
    <row r="143" spans="8:8" x14ac:dyDescent="0.55000000000000004">
      <c r="H143" s="40"/>
    </row>
    <row r="144" spans="8:8" x14ac:dyDescent="0.55000000000000004">
      <c r="H144" s="40"/>
    </row>
    <row r="145" spans="8:8" x14ac:dyDescent="0.55000000000000004">
      <c r="H145" s="40"/>
    </row>
    <row r="146" spans="8:8" x14ac:dyDescent="0.55000000000000004">
      <c r="H146" s="40"/>
    </row>
    <row r="147" spans="8:8" x14ac:dyDescent="0.55000000000000004">
      <c r="H147" s="40"/>
    </row>
    <row r="148" spans="8:8" x14ac:dyDescent="0.55000000000000004">
      <c r="H148" s="40"/>
    </row>
    <row r="149" spans="8:8" x14ac:dyDescent="0.55000000000000004">
      <c r="H149" s="40"/>
    </row>
    <row r="150" spans="8:8" x14ac:dyDescent="0.55000000000000004">
      <c r="H150" s="40"/>
    </row>
    <row r="151" spans="8:8" x14ac:dyDescent="0.55000000000000004">
      <c r="H151" s="40"/>
    </row>
    <row r="152" spans="8:8" x14ac:dyDescent="0.55000000000000004">
      <c r="H152" s="40"/>
    </row>
    <row r="153" spans="8:8" x14ac:dyDescent="0.55000000000000004">
      <c r="H153" s="40"/>
    </row>
    <row r="154" spans="8:8" x14ac:dyDescent="0.55000000000000004">
      <c r="H154" s="40"/>
    </row>
    <row r="155" spans="8:8" x14ac:dyDescent="0.55000000000000004">
      <c r="H155" s="40"/>
    </row>
    <row r="156" spans="8:8" x14ac:dyDescent="0.55000000000000004">
      <c r="H156" s="40"/>
    </row>
    <row r="157" spans="8:8" x14ac:dyDescent="0.55000000000000004">
      <c r="H157" s="40"/>
    </row>
    <row r="158" spans="8:8" x14ac:dyDescent="0.55000000000000004">
      <c r="H158" s="40"/>
    </row>
    <row r="159" spans="8:8" x14ac:dyDescent="0.55000000000000004">
      <c r="H159" s="40"/>
    </row>
    <row r="160" spans="8:8" x14ac:dyDescent="0.55000000000000004">
      <c r="H160" s="40"/>
    </row>
    <row r="161" spans="8:8" x14ac:dyDescent="0.55000000000000004">
      <c r="H161" s="40"/>
    </row>
    <row r="162" spans="8:8" x14ac:dyDescent="0.55000000000000004">
      <c r="H162" s="40"/>
    </row>
    <row r="163" spans="8:8" x14ac:dyDescent="0.55000000000000004">
      <c r="H163" s="40"/>
    </row>
    <row r="164" spans="8:8" x14ac:dyDescent="0.55000000000000004">
      <c r="H164" s="40"/>
    </row>
    <row r="165" spans="8:8" x14ac:dyDescent="0.55000000000000004">
      <c r="H165" s="40"/>
    </row>
    <row r="166" spans="8:8" x14ac:dyDescent="0.55000000000000004">
      <c r="H166" s="40"/>
    </row>
    <row r="167" spans="8:8" x14ac:dyDescent="0.55000000000000004">
      <c r="H167" s="40"/>
    </row>
    <row r="168" spans="8:8" x14ac:dyDescent="0.55000000000000004">
      <c r="H168" s="40"/>
    </row>
    <row r="169" spans="8:8" x14ac:dyDescent="0.55000000000000004">
      <c r="H169" s="40"/>
    </row>
    <row r="170" spans="8:8" x14ac:dyDescent="0.55000000000000004">
      <c r="H170" s="40"/>
    </row>
    <row r="171" spans="8:8" x14ac:dyDescent="0.55000000000000004">
      <c r="H171" s="40"/>
    </row>
    <row r="172" spans="8:8" x14ac:dyDescent="0.55000000000000004">
      <c r="H172" s="40"/>
    </row>
    <row r="173" spans="8:8" x14ac:dyDescent="0.55000000000000004">
      <c r="H173" s="40"/>
    </row>
    <row r="174" spans="8:8" x14ac:dyDescent="0.55000000000000004">
      <c r="H174" s="40"/>
    </row>
    <row r="175" spans="8:8" x14ac:dyDescent="0.55000000000000004">
      <c r="H175" s="40"/>
    </row>
    <row r="176" spans="8:8" x14ac:dyDescent="0.55000000000000004">
      <c r="H176" s="40"/>
    </row>
    <row r="177" spans="8:8" x14ac:dyDescent="0.55000000000000004">
      <c r="H177" s="40"/>
    </row>
    <row r="178" spans="8:8" x14ac:dyDescent="0.55000000000000004">
      <c r="H178" s="40"/>
    </row>
    <row r="179" spans="8:8" x14ac:dyDescent="0.55000000000000004">
      <c r="H179" s="40"/>
    </row>
    <row r="180" spans="8:8" x14ac:dyDescent="0.55000000000000004">
      <c r="H180" s="40"/>
    </row>
    <row r="181" spans="8:8" x14ac:dyDescent="0.55000000000000004">
      <c r="H181" s="40"/>
    </row>
    <row r="182" spans="8:8" x14ac:dyDescent="0.55000000000000004">
      <c r="H182" s="40"/>
    </row>
    <row r="183" spans="8:8" x14ac:dyDescent="0.55000000000000004">
      <c r="H183" s="40"/>
    </row>
    <row r="184" spans="8:8" x14ac:dyDescent="0.55000000000000004">
      <c r="H184" s="40"/>
    </row>
    <row r="185" spans="8:8" x14ac:dyDescent="0.55000000000000004">
      <c r="H185" s="40"/>
    </row>
    <row r="186" spans="8:8" x14ac:dyDescent="0.55000000000000004">
      <c r="H186" s="40"/>
    </row>
    <row r="187" spans="8:8" x14ac:dyDescent="0.55000000000000004">
      <c r="H187" s="40"/>
    </row>
    <row r="188" spans="8:8" x14ac:dyDescent="0.55000000000000004">
      <c r="H188" s="40"/>
    </row>
    <row r="189" spans="8:8" x14ac:dyDescent="0.55000000000000004">
      <c r="H189" s="40"/>
    </row>
    <row r="190" spans="8:8" x14ac:dyDescent="0.55000000000000004">
      <c r="H190" s="40"/>
    </row>
    <row r="191" spans="8:8" x14ac:dyDescent="0.55000000000000004">
      <c r="H191" s="40"/>
    </row>
    <row r="192" spans="8:8" x14ac:dyDescent="0.55000000000000004">
      <c r="H192" s="40"/>
    </row>
    <row r="193" spans="8:8" x14ac:dyDescent="0.55000000000000004">
      <c r="H193" s="40"/>
    </row>
    <row r="194" spans="8:8" x14ac:dyDescent="0.55000000000000004">
      <c r="H194" s="40"/>
    </row>
    <row r="195" spans="8:8" x14ac:dyDescent="0.55000000000000004">
      <c r="H195"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EFF8-7723-4D08-9329-2B401E6060B6}">
  <dimension ref="A32"/>
  <sheetViews>
    <sheetView showGridLines="0" showRowColHeaders="0" zoomScale="70" zoomScaleNormal="70" workbookViewId="0"/>
  </sheetViews>
  <sheetFormatPr defaultRowHeight="14.4" x14ac:dyDescent="0.55000000000000004"/>
  <cols>
    <col min="1" max="16384" width="8.796875" style="36"/>
  </cols>
  <sheetData>
    <row r="32" s="36" customFormat="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0491-50A8-436C-8260-C4686C9FAC93}">
  <dimension ref="A1"/>
  <sheetViews>
    <sheetView showGridLines="0" showRowColHeaders="0" zoomScale="70" zoomScaleNormal="70" workbookViewId="0"/>
  </sheetViews>
  <sheetFormatPr defaultRowHeight="14.4" x14ac:dyDescent="0.55000000000000004"/>
  <cols>
    <col min="1" max="16384" width="8.79687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1044-AF15-45C4-B0B1-F973B13F69D8}">
  <dimension ref="A1"/>
  <sheetViews>
    <sheetView showGridLines="0" showRowColHeaders="0" tabSelected="1" zoomScale="70" zoomScaleNormal="70" workbookViewId="0"/>
  </sheetViews>
  <sheetFormatPr defaultRowHeight="14.4" x14ac:dyDescent="0.55000000000000004"/>
  <cols>
    <col min="1" max="16384" width="8.79687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34A821-8BE5-4653-9C8C-F229E83753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14</vt:i4>
      </vt:variant>
    </vt:vector>
  </HeadingPairs>
  <TitlesOfParts>
    <vt:vector size="20" baseType="lpstr">
      <vt:lpstr>Data</vt:lpstr>
      <vt:lpstr>Meta data</vt:lpstr>
      <vt:lpstr>Pivot</vt:lpstr>
      <vt:lpstr>OverView</vt:lpstr>
      <vt:lpstr>Performance</vt:lpstr>
      <vt:lpstr>Customer</vt:lpstr>
      <vt:lpstr>Average_duration</vt:lpstr>
      <vt:lpstr>Average_of_Age</vt:lpstr>
      <vt:lpstr>Average_satsfication</vt:lpstr>
      <vt:lpstr>Count_of_Call_number</vt:lpstr>
      <vt:lpstr>Female</vt:lpstr>
      <vt:lpstr>Male</vt:lpstr>
      <vt:lpstr>Row_Labels</vt:lpstr>
      <vt:lpstr>Sum_of_Duration</vt:lpstr>
      <vt:lpstr>Sum_of_Purchase_Amount</vt:lpstr>
      <vt:lpstr>Sum_of_Satisfaction_Rating</vt:lpstr>
      <vt:lpstr>Total_Calls</vt:lpstr>
      <vt:lpstr>Total_Purchase_Amount</vt:lpstr>
      <vt:lpstr>Unique_customers</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Moataz Khamiss</dc:creator>
  <cp:lastModifiedBy>Moataz khamies</cp:lastModifiedBy>
  <dcterms:created xsi:type="dcterms:W3CDTF">2021-03-14T20:21:32Z</dcterms:created>
  <dcterms:modified xsi:type="dcterms:W3CDTF">2026-10-29T01:03:02Z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